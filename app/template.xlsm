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2007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H:\Projects\info_teke\"/>
    </mc:Choice>
  </mc:AlternateContent>
  <xr:revisionPtr revIDLastSave="0" documentId="13_ncr:1_{7A6FC351-9088-4C5E-A0B1-3878EEF426F0}" xr6:coauthVersionLast="47" xr6:coauthVersionMax="47" xr10:uidLastSave="{00000000-0000-0000-0000-000000000000}"/>
  <bookViews>
    <workbookView xWindow="7155" yWindow="2190" windowWidth="38625" windowHeight="15345" tabRatio="799" firstSheet="1" activeTab="1" xr2:uid="{00000000-000D-0000-FFFF-FFFF00000000}"/>
  </bookViews>
  <sheets>
    <sheet name="BD" sheetId="11" state="veryHidden" r:id="rId1"/>
    <sheet name="Тека ГП" sheetId="6" r:id="rId2"/>
    <sheet name="Тека мясо 8-00" sheetId="5" r:id="rId3"/>
    <sheet name="Тека мясо 13-00" sheetId="22" r:id="rId4"/>
    <sheet name="Тека мясо 19-00" sheetId="23" r:id="rId5"/>
    <sheet name="для печати" sheetId="10" r:id="rId6"/>
    <sheet name="Тека ГП нарезка" sheetId="14" r:id="rId7"/>
    <sheet name="Тека ГП нарезка 12-00" sheetId="17" r:id="rId8"/>
    <sheet name="Тека ГП нарезка 16-00 " sheetId="18" r:id="rId9"/>
    <sheet name="Тека ГП нарезка 20-00 " sheetId="19" r:id="rId10"/>
    <sheet name="Шоп ГП" sheetId="7" r:id="rId11"/>
    <sheet name=" ГП печать" sheetId="12" r:id="rId12"/>
    <sheet name="Партии для ВУ" sheetId="15" r:id="rId13"/>
    <sheet name="ЖР ВУ" sheetId="16" r:id="rId14"/>
    <sheet name="ЖР ГП" sheetId="20" r:id="rId15"/>
    <sheet name="Шоп печать" sheetId="13" r:id="rId16"/>
    <sheet name="ЖР МЛ" sheetId="25" r:id="rId17"/>
    <sheet name="Т МЛ" sheetId="26" r:id="rId18"/>
    <sheet name="Черновик МЛ" sheetId="21" r:id="rId19"/>
    <sheet name="Контроль сроков ГП" sheetId="24" r:id="rId20"/>
    <sheet name="Для прослежки" sheetId="27" r:id="rId21"/>
  </sheets>
  <definedNames>
    <definedName name="_xlnm._FilterDatabase" localSheetId="11" hidden="1">' ГП печать'!$A$7:$C$42</definedName>
    <definedName name="_xlnm._FilterDatabase" localSheetId="19" hidden="1">'Контроль сроков ГП'!$A$2:$B$36</definedName>
    <definedName name="_xlnm._FilterDatabase" localSheetId="1" hidden="1">'Тека ГП'!$A$7:$C$38</definedName>
    <definedName name="_xlnm._FilterDatabase" localSheetId="6" hidden="1">'Тека ГП нарезка'!$A$7:$C$53</definedName>
    <definedName name="_xlnm._FilterDatabase" localSheetId="7" hidden="1">'Тека ГП нарезка 12-00'!$A$7:$C$53</definedName>
    <definedName name="_xlnm._FilterDatabase" localSheetId="8" hidden="1">'Тека ГП нарезка 16-00 '!$A$7:$C$53</definedName>
    <definedName name="_xlnm._FilterDatabase" localSheetId="9" hidden="1">'Тека ГП нарезка 20-00 '!$A$7:$C$53</definedName>
    <definedName name="_xlnm._FilterDatabase" localSheetId="3" hidden="1">'Тека мясо 13-00'!$A$7:$C$115</definedName>
    <definedName name="_xlnm._FilterDatabase" localSheetId="4" hidden="1">'Тека мясо 19-00'!$A$7:$C$115</definedName>
    <definedName name="_xlnm._FilterDatabase" localSheetId="2" hidden="1">'Тека мясо 8-00'!$A$7:$C$127</definedName>
    <definedName name="_xlnm._FilterDatabase" localSheetId="10" hidden="1">'Шоп ГП'!$A$7:$C$33</definedName>
    <definedName name="_xlnm._FilterDatabase" localSheetId="15" hidden="1">'Шоп печать'!$A$5:$C$44</definedName>
    <definedName name="_xlnm.Print_Titles" localSheetId="13">'ЖР ВУ'!$1:$4</definedName>
    <definedName name="_xlnm.Print_Titles" localSheetId="14">'ЖР ГП'!$1:$4</definedName>
    <definedName name="_xlnm.Print_Titles" localSheetId="17">'Т МЛ'!$1:$3</definedName>
    <definedName name="_xlnm.Print_Area" localSheetId="11">' ГП печать'!$A$1:$C$72</definedName>
    <definedName name="_xlnm.Print_Area" localSheetId="20">'Для прослежки'!$A$1:$B$82</definedName>
    <definedName name="_xlnm.Print_Area" localSheetId="13">'ЖР ВУ'!$A$1:$L$80</definedName>
    <definedName name="_xlnm.Print_Area" localSheetId="14">'ЖР ГП'!$A$1:$O$80</definedName>
    <definedName name="_xlnm.Print_Area" localSheetId="19">'Контроль сроков ГП'!$A$1:$C$68</definedName>
    <definedName name="_xlnm.Print_Area" localSheetId="12">'Партии для ВУ'!$A$1:$B$69</definedName>
    <definedName name="_xlnm.Print_Area" localSheetId="1">'Тека ГП'!$A$1:$C$57</definedName>
    <definedName name="_xlnm.Print_Area" localSheetId="6">'Тека ГП нарезка'!$A$1:$C$71</definedName>
    <definedName name="_xlnm.Print_Area" localSheetId="7">'Тека ГП нарезка 12-00'!$A$1:$D$71</definedName>
    <definedName name="_xlnm.Print_Area" localSheetId="8">'Тека ГП нарезка 16-00 '!$A$1:$C$71</definedName>
    <definedName name="_xlnm.Print_Area" localSheetId="9">'Тека ГП нарезка 20-00 '!$A$1:$C$71</definedName>
    <definedName name="_xlnm.Print_Area" localSheetId="3">'Тека мясо 13-00'!$A$1:$C$127</definedName>
    <definedName name="_xlnm.Print_Area" localSheetId="4">'Тека мясо 19-00'!$A$1:$C$127</definedName>
    <definedName name="_xlnm.Print_Area" localSheetId="2">'Тека мясо 8-00'!$A$1:$C$127</definedName>
    <definedName name="_xlnm.Print_Area" localSheetId="18">'Черновик МЛ'!$A$1:$H$16</definedName>
    <definedName name="_xlnm.Print_Area" localSheetId="10">'Шоп ГП'!$A$1:$C$24</definedName>
    <definedName name="_xlnm.Print_Area" localSheetId="15">'Шоп печать'!$A$1:$C$27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9" i="6" l="1"/>
  <c r="E59" i="6"/>
  <c r="C54" i="24" s="1"/>
  <c r="E58" i="6"/>
  <c r="C53" i="24" s="1"/>
  <c r="E57" i="6"/>
  <c r="C52" i="24" s="1"/>
  <c r="E56" i="6"/>
  <c r="C51" i="24" s="1"/>
  <c r="E72" i="6"/>
  <c r="E71" i="6"/>
  <c r="E70" i="6"/>
  <c r="E69" i="6"/>
  <c r="E68" i="6"/>
  <c r="E67" i="6"/>
  <c r="E66" i="6"/>
  <c r="E65" i="6"/>
  <c r="E64" i="6"/>
  <c r="E63" i="6"/>
  <c r="C58" i="24" s="1"/>
  <c r="E62" i="6"/>
  <c r="C57" i="24" s="1"/>
  <c r="E61" i="6"/>
  <c r="C56" i="24" s="1"/>
  <c r="E60" i="6"/>
  <c r="E55" i="6"/>
  <c r="C50" i="24" s="1"/>
  <c r="E54" i="6"/>
  <c r="C49" i="24" s="1"/>
  <c r="E53" i="6"/>
  <c r="C48" i="24" s="1"/>
  <c r="E52" i="6"/>
  <c r="C47" i="24" s="1"/>
  <c r="E51" i="6"/>
  <c r="C46" i="24" s="1"/>
  <c r="E50" i="6"/>
  <c r="C45" i="24" s="1"/>
  <c r="E49" i="6"/>
  <c r="C44" i="24" s="1"/>
  <c r="E48" i="6"/>
  <c r="C43" i="24" s="1"/>
  <c r="E47" i="6"/>
  <c r="C42" i="24" s="1"/>
  <c r="E46" i="6"/>
  <c r="C41" i="24" s="1"/>
  <c r="E45" i="6"/>
  <c r="C40" i="24" s="1"/>
  <c r="E44" i="6"/>
  <c r="C39" i="24" s="1"/>
  <c r="E43" i="6"/>
  <c r="C38" i="24" s="1"/>
  <c r="E42" i="6"/>
  <c r="C37" i="24" s="1"/>
  <c r="E41" i="6"/>
  <c r="C36" i="24" s="1"/>
  <c r="E40" i="6"/>
  <c r="C35" i="24" s="1"/>
  <c r="E39" i="6"/>
  <c r="C34" i="24" s="1"/>
  <c r="E38" i="6"/>
  <c r="C33" i="24" s="1"/>
  <c r="E37" i="6"/>
  <c r="C32" i="24" s="1"/>
  <c r="E36" i="6"/>
  <c r="C31" i="24" s="1"/>
  <c r="E35" i="6"/>
  <c r="C30" i="24" s="1"/>
  <c r="E34" i="6"/>
  <c r="C29" i="24" s="1"/>
  <c r="E33" i="6"/>
  <c r="C28" i="24" s="1"/>
  <c r="E32" i="6"/>
  <c r="C27" i="24" s="1"/>
  <c r="E31" i="6"/>
  <c r="C26" i="24" s="1"/>
  <c r="E30" i="6"/>
  <c r="C25" i="24" s="1"/>
  <c r="E29" i="6"/>
  <c r="C24" i="24" s="1"/>
  <c r="E28" i="6"/>
  <c r="C23" i="24" s="1"/>
  <c r="E27" i="6"/>
  <c r="C22" i="24" s="1"/>
  <c r="E26" i="6"/>
  <c r="C21" i="24" s="1"/>
  <c r="E25" i="6"/>
  <c r="C20" i="24" s="1"/>
  <c r="E24" i="6"/>
  <c r="C19" i="24" s="1"/>
  <c r="E23" i="6"/>
  <c r="C18" i="24" s="1"/>
  <c r="E22" i="6"/>
  <c r="C17" i="24" s="1"/>
  <c r="E21" i="6"/>
  <c r="C16" i="24" s="1"/>
  <c r="E20" i="6"/>
  <c r="C15" i="24" s="1"/>
  <c r="E19" i="6"/>
  <c r="C14" i="24" s="1"/>
  <c r="E18" i="6"/>
  <c r="C13" i="24" s="1"/>
  <c r="E17" i="6"/>
  <c r="C12" i="24" s="1"/>
  <c r="E16" i="6"/>
  <c r="C11" i="24" s="1"/>
  <c r="E15" i="6"/>
  <c r="C10" i="24" s="1"/>
  <c r="E14" i="6"/>
  <c r="C9" i="24" s="1"/>
  <c r="E13" i="6"/>
  <c r="C8" i="24" s="1"/>
  <c r="E12" i="6"/>
  <c r="C7" i="24" s="1"/>
  <c r="E11" i="6"/>
  <c r="E10" i="6"/>
  <c r="C5" i="24" s="1"/>
  <c r="C4" i="24"/>
  <c r="E8" i="6"/>
  <c r="C6" i="24"/>
  <c r="C55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82" i="27"/>
  <c r="B81" i="27"/>
  <c r="C10" i="7" l="1"/>
  <c r="B10" i="7"/>
  <c r="C9" i="7"/>
  <c r="B9" i="7"/>
  <c r="C8" i="7"/>
  <c r="B8" i="7"/>
  <c r="C23" i="7"/>
  <c r="C24" i="7"/>
  <c r="C22" i="7"/>
  <c r="B23" i="7"/>
  <c r="B24" i="7"/>
  <c r="B22" i="7"/>
  <c r="B71" i="19" l="1"/>
  <c r="B70" i="19"/>
  <c r="B69" i="19"/>
  <c r="B68" i="19"/>
  <c r="B67" i="19"/>
  <c r="B66" i="19"/>
  <c r="B65" i="19"/>
  <c r="B64" i="19"/>
  <c r="B63" i="19"/>
  <c r="B62" i="19"/>
  <c r="B61" i="19"/>
  <c r="B60" i="19"/>
  <c r="B58" i="19"/>
  <c r="B57" i="19"/>
  <c r="B56" i="19"/>
  <c r="B55" i="19"/>
  <c r="B54" i="19"/>
  <c r="B53" i="19"/>
  <c r="B52" i="19"/>
  <c r="B51" i="19"/>
  <c r="B50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7" i="19"/>
  <c r="B25" i="19"/>
  <c r="B24" i="19"/>
  <c r="B22" i="19"/>
  <c r="B21" i="19"/>
  <c r="B19" i="19"/>
  <c r="B18" i="19"/>
  <c r="B16" i="19"/>
  <c r="B15" i="19"/>
  <c r="B13" i="19"/>
  <c r="B12" i="19"/>
  <c r="B11" i="19"/>
  <c r="B10" i="19"/>
  <c r="B9" i="19"/>
  <c r="B8" i="19"/>
  <c r="B3" i="19"/>
  <c r="B71" i="18"/>
  <c r="B70" i="18"/>
  <c r="B69" i="18"/>
  <c r="B68" i="18"/>
  <c r="B67" i="18"/>
  <c r="B66" i="18"/>
  <c r="B65" i="18"/>
  <c r="B64" i="18"/>
  <c r="B63" i="18"/>
  <c r="B62" i="18"/>
  <c r="B61" i="18"/>
  <c r="B60" i="18"/>
  <c r="B58" i="18"/>
  <c r="B57" i="18"/>
  <c r="B56" i="18"/>
  <c r="B55" i="18"/>
  <c r="B54" i="18"/>
  <c r="B53" i="18"/>
  <c r="B52" i="18"/>
  <c r="B51" i="18"/>
  <c r="B50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5" i="18"/>
  <c r="B24" i="18"/>
  <c r="B22" i="18"/>
  <c r="B21" i="18"/>
  <c r="B19" i="18"/>
  <c r="B18" i="18"/>
  <c r="B16" i="18"/>
  <c r="B15" i="18"/>
  <c r="B13" i="18"/>
  <c r="B12" i="18"/>
  <c r="B11" i="18"/>
  <c r="B10" i="18"/>
  <c r="B9" i="18"/>
  <c r="B8" i="18"/>
  <c r="B3" i="18"/>
  <c r="B71" i="17"/>
  <c r="B70" i="17"/>
  <c r="B69" i="17"/>
  <c r="B68" i="17"/>
  <c r="B67" i="17"/>
  <c r="B66" i="17"/>
  <c r="B65" i="17"/>
  <c r="B64" i="17"/>
  <c r="B63" i="17"/>
  <c r="B62" i="17"/>
  <c r="B61" i="17"/>
  <c r="B60" i="17"/>
  <c r="B58" i="17"/>
  <c r="B57" i="17"/>
  <c r="B56" i="17"/>
  <c r="B55" i="17"/>
  <c r="B54" i="17"/>
  <c r="B53" i="17"/>
  <c r="B52" i="17"/>
  <c r="B51" i="17"/>
  <c r="B50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7" i="17"/>
  <c r="B25" i="17"/>
  <c r="B24" i="17"/>
  <c r="B22" i="17"/>
  <c r="B21" i="17"/>
  <c r="B19" i="17"/>
  <c r="B18" i="17"/>
  <c r="B16" i="17"/>
  <c r="B15" i="17"/>
  <c r="B13" i="17"/>
  <c r="B12" i="17"/>
  <c r="B11" i="17"/>
  <c r="B10" i="17"/>
  <c r="B9" i="17"/>
  <c r="B8" i="17"/>
  <c r="B3" i="17"/>
  <c r="B69" i="14"/>
  <c r="B70" i="14"/>
  <c r="B71" i="14"/>
  <c r="B52" i="27"/>
  <c r="B80" i="27" s="1"/>
  <c r="B51" i="27"/>
  <c r="B50" i="27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C21" i="7"/>
  <c r="B21" i="7"/>
  <c r="B61" i="27"/>
  <c r="B60" i="27"/>
  <c r="B59" i="27"/>
  <c r="B58" i="27"/>
  <c r="B57" i="27"/>
  <c r="B56" i="27"/>
  <c r="B55" i="27"/>
  <c r="B54" i="27"/>
  <c r="B53" i="27"/>
  <c r="B49" i="27"/>
  <c r="B77" i="27" s="1"/>
  <c r="B48" i="27"/>
  <c r="B62" i="27" s="1"/>
  <c r="B47" i="27"/>
  <c r="B46" i="27"/>
  <c r="B73" i="27" s="1"/>
  <c r="B45" i="27"/>
  <c r="B72" i="27" s="1"/>
  <c r="B44" i="27"/>
  <c r="B43" i="27"/>
  <c r="B71" i="27" s="1"/>
  <c r="B42" i="27"/>
  <c r="B70" i="27" s="1"/>
  <c r="B41" i="27"/>
  <c r="B69" i="27" s="1"/>
  <c r="B40" i="27"/>
  <c r="B76" i="27" s="1"/>
  <c r="B39" i="27"/>
  <c r="B75" i="27" s="1"/>
  <c r="B38" i="27"/>
  <c r="B74" i="27" s="1"/>
  <c r="B37" i="27"/>
  <c r="B68" i="27" s="1"/>
  <c r="B36" i="27"/>
  <c r="B67" i="27" s="1"/>
  <c r="B35" i="27"/>
  <c r="B66" i="27" s="1"/>
  <c r="B34" i="27"/>
  <c r="B65" i="27" s="1"/>
  <c r="B33" i="27"/>
  <c r="B64" i="27" s="1"/>
  <c r="B32" i="27"/>
  <c r="B31" i="27"/>
  <c r="B30" i="27"/>
  <c r="B63" i="27" s="1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78" i="27" l="1"/>
  <c r="B79" i="27"/>
  <c r="B3" i="24"/>
  <c r="B5" i="15" l="1"/>
  <c r="B14" i="7"/>
  <c r="C14" i="7"/>
  <c r="C20" i="7"/>
  <c r="C19" i="7"/>
  <c r="C18" i="7"/>
  <c r="C17" i="7"/>
  <c r="C16" i="7"/>
  <c r="C15" i="7"/>
  <c r="C13" i="7"/>
  <c r="C12" i="7"/>
  <c r="C11" i="7"/>
  <c r="B20" i="7"/>
  <c r="B19" i="7"/>
  <c r="B18" i="7"/>
  <c r="B17" i="7"/>
  <c r="B16" i="7"/>
  <c r="B15" i="7"/>
  <c r="B13" i="7"/>
  <c r="B12" i="7"/>
  <c r="B11" i="7"/>
  <c r="C4" i="6" l="1"/>
  <c r="C3" i="24"/>
  <c r="B3" i="23"/>
  <c r="B3" i="22"/>
  <c r="O1" i="20"/>
  <c r="B68" i="14"/>
  <c r="C4" i="19" l="1"/>
  <c r="C4" i="17"/>
  <c r="C4" i="18"/>
  <c r="A2" i="16"/>
  <c r="A2" i="27"/>
  <c r="G5" i="27" s="1"/>
  <c r="K1" i="26"/>
  <c r="B116" i="22"/>
  <c r="A2" i="25"/>
  <c r="B16" i="23"/>
  <c r="B28" i="23"/>
  <c r="B40" i="23"/>
  <c r="B56" i="23"/>
  <c r="B68" i="23"/>
  <c r="B80" i="23"/>
  <c r="B88" i="23"/>
  <c r="B100" i="23"/>
  <c r="B108" i="23"/>
  <c r="B116" i="23"/>
  <c r="B13" i="23"/>
  <c r="B8" i="23"/>
  <c r="B20" i="23"/>
  <c r="B32" i="23"/>
  <c r="B44" i="23"/>
  <c r="B52" i="23"/>
  <c r="B64" i="23"/>
  <c r="B76" i="23"/>
  <c r="B92" i="23"/>
  <c r="B104" i="23"/>
  <c r="B112" i="23"/>
  <c r="B124" i="23"/>
  <c r="B17" i="23"/>
  <c r="B10" i="23"/>
  <c r="B14" i="23"/>
  <c r="B18" i="23"/>
  <c r="B22" i="23"/>
  <c r="B26" i="23"/>
  <c r="B30" i="23"/>
  <c r="B34" i="23"/>
  <c r="B38" i="23"/>
  <c r="B42" i="23"/>
  <c r="B46" i="23"/>
  <c r="B50" i="23"/>
  <c r="B54" i="23"/>
  <c r="B58" i="23"/>
  <c r="B62" i="23"/>
  <c r="B66" i="23"/>
  <c r="B70" i="23"/>
  <c r="B74" i="23"/>
  <c r="B78" i="23"/>
  <c r="B82" i="23"/>
  <c r="B86" i="23"/>
  <c r="B90" i="23"/>
  <c r="B94" i="23"/>
  <c r="B98" i="23"/>
  <c r="B102" i="23"/>
  <c r="B106" i="23"/>
  <c r="B110" i="23"/>
  <c r="B114" i="23"/>
  <c r="B118" i="23"/>
  <c r="B122" i="23"/>
  <c r="B126" i="23"/>
  <c r="B12" i="23"/>
  <c r="B24" i="23"/>
  <c r="B36" i="23"/>
  <c r="B48" i="23"/>
  <c r="B60" i="23"/>
  <c r="B72" i="23"/>
  <c r="B84" i="23"/>
  <c r="B96" i="23"/>
  <c r="B120" i="23"/>
  <c r="B9" i="23"/>
  <c r="B21" i="23"/>
  <c r="B25" i="23"/>
  <c r="B29" i="23"/>
  <c r="B33" i="23"/>
  <c r="B37" i="23"/>
  <c r="B41" i="23"/>
  <c r="B45" i="23"/>
  <c r="B49" i="23"/>
  <c r="B53" i="23"/>
  <c r="B57" i="23"/>
  <c r="B61" i="23"/>
  <c r="B65" i="23"/>
  <c r="B69" i="23"/>
  <c r="B73" i="23"/>
  <c r="B77" i="23"/>
  <c r="B81" i="23"/>
  <c r="B85" i="23"/>
  <c r="B89" i="23"/>
  <c r="B93" i="23"/>
  <c r="B97" i="23"/>
  <c r="B101" i="23"/>
  <c r="B105" i="23"/>
  <c r="B109" i="23"/>
  <c r="B113" i="23"/>
  <c r="B117" i="23"/>
  <c r="B121" i="23"/>
  <c r="B125" i="23"/>
  <c r="C4" i="23"/>
  <c r="B11" i="23"/>
  <c r="B15" i="23"/>
  <c r="B19" i="23"/>
  <c r="B23" i="23"/>
  <c r="B27" i="23"/>
  <c r="B31" i="23"/>
  <c r="B35" i="23"/>
  <c r="B39" i="23"/>
  <c r="B43" i="23"/>
  <c r="B47" i="23"/>
  <c r="B51" i="23"/>
  <c r="B55" i="23"/>
  <c r="B59" i="23"/>
  <c r="B63" i="23"/>
  <c r="B67" i="23"/>
  <c r="B71" i="23"/>
  <c r="B75" i="23"/>
  <c r="B79" i="23"/>
  <c r="B83" i="23"/>
  <c r="B87" i="23"/>
  <c r="B91" i="23"/>
  <c r="B95" i="23"/>
  <c r="B99" i="23"/>
  <c r="B103" i="23"/>
  <c r="B107" i="23"/>
  <c r="B111" i="23"/>
  <c r="B115" i="23"/>
  <c r="B119" i="23"/>
  <c r="B123" i="23"/>
  <c r="B127" i="23"/>
  <c r="B32" i="22"/>
  <c r="B16" i="22"/>
  <c r="B96" i="22"/>
  <c r="B17" i="22"/>
  <c r="B36" i="22"/>
  <c r="B68" i="22"/>
  <c r="B100" i="22"/>
  <c r="B8" i="22"/>
  <c r="B24" i="22"/>
  <c r="B48" i="22"/>
  <c r="B80" i="22"/>
  <c r="B112" i="22"/>
  <c r="B64" i="22"/>
  <c r="B9" i="22"/>
  <c r="B25" i="22"/>
  <c r="B52" i="22"/>
  <c r="B84" i="22"/>
  <c r="B124" i="5"/>
  <c r="B127" i="22"/>
  <c r="B123" i="22"/>
  <c r="B119" i="22"/>
  <c r="B115" i="22"/>
  <c r="B111" i="22"/>
  <c r="B107" i="22"/>
  <c r="B103" i="22"/>
  <c r="B99" i="22"/>
  <c r="B95" i="22"/>
  <c r="B91" i="22"/>
  <c r="B87" i="22"/>
  <c r="B83" i="22"/>
  <c r="B79" i="22"/>
  <c r="B75" i="22"/>
  <c r="B71" i="22"/>
  <c r="B67" i="22"/>
  <c r="B63" i="22"/>
  <c r="B59" i="22"/>
  <c r="B55" i="22"/>
  <c r="B51" i="22"/>
  <c r="B47" i="22"/>
  <c r="B43" i="22"/>
  <c r="B39" i="22"/>
  <c r="B35" i="22"/>
  <c r="B31" i="22"/>
  <c r="B27" i="22"/>
  <c r="B23" i="22"/>
  <c r="B19" i="22"/>
  <c r="B15" i="22"/>
  <c r="B11" i="22"/>
  <c r="C4" i="22"/>
  <c r="B126" i="22"/>
  <c r="B122" i="22"/>
  <c r="B118" i="22"/>
  <c r="B114" i="22"/>
  <c r="B110" i="22"/>
  <c r="B106" i="22"/>
  <c r="B102" i="22"/>
  <c r="B98" i="22"/>
  <c r="B94" i="22"/>
  <c r="B90" i="22"/>
  <c r="B86" i="22"/>
  <c r="B82" i="22"/>
  <c r="B78" i="22"/>
  <c r="B74" i="22"/>
  <c r="B70" i="22"/>
  <c r="B66" i="22"/>
  <c r="B62" i="22"/>
  <c r="B58" i="22"/>
  <c r="B54" i="22"/>
  <c r="B50" i="22"/>
  <c r="B46" i="22"/>
  <c r="B42" i="22"/>
  <c r="B38" i="22"/>
  <c r="B34" i="22"/>
  <c r="B30" i="22"/>
  <c r="B26" i="22"/>
  <c r="B22" i="22"/>
  <c r="B18" i="22"/>
  <c r="B14" i="22"/>
  <c r="B10" i="22"/>
  <c r="B125" i="22"/>
  <c r="B121" i="22"/>
  <c r="B117" i="22"/>
  <c r="B113" i="22"/>
  <c r="B109" i="22"/>
  <c r="B105" i="22"/>
  <c r="B101" i="22"/>
  <c r="B97" i="22"/>
  <c r="B93" i="22"/>
  <c r="B89" i="22"/>
  <c r="B85" i="22"/>
  <c r="B81" i="22"/>
  <c r="B77" i="22"/>
  <c r="B73" i="22"/>
  <c r="B69" i="22"/>
  <c r="B65" i="22"/>
  <c r="B61" i="22"/>
  <c r="B57" i="22"/>
  <c r="B53" i="22"/>
  <c r="B49" i="22"/>
  <c r="B45" i="22"/>
  <c r="B41" i="22"/>
  <c r="B37" i="22"/>
  <c r="B33" i="22"/>
  <c r="B12" i="22"/>
  <c r="B20" i="22"/>
  <c r="B28" i="22"/>
  <c r="B40" i="22"/>
  <c r="B56" i="22"/>
  <c r="B72" i="22"/>
  <c r="B88" i="22"/>
  <c r="B104" i="22"/>
  <c r="B120" i="22"/>
  <c r="B13" i="22"/>
  <c r="B21" i="22"/>
  <c r="B29" i="22"/>
  <c r="B44" i="22"/>
  <c r="B60" i="22"/>
  <c r="B76" i="22"/>
  <c r="B92" i="22"/>
  <c r="B108" i="22"/>
  <c r="B124" i="22"/>
  <c r="B77" i="5"/>
  <c r="B44" i="5"/>
  <c r="B45" i="5"/>
  <c r="B76" i="5"/>
  <c r="B46" i="5"/>
  <c r="B84" i="5"/>
  <c r="B85" i="5"/>
  <c r="B80" i="5"/>
  <c r="B88" i="5"/>
  <c r="B81" i="5"/>
  <c r="B89" i="5"/>
  <c r="B78" i="5"/>
  <c r="B82" i="5"/>
  <c r="B86" i="5"/>
  <c r="B90" i="5"/>
  <c r="B79" i="5"/>
  <c r="B83" i="5"/>
  <c r="B87" i="5"/>
  <c r="B91" i="5"/>
  <c r="B36" i="5"/>
  <c r="B55" i="5"/>
  <c r="B99" i="5"/>
  <c r="B20" i="5"/>
  <c r="B115" i="5"/>
  <c r="B71" i="5"/>
  <c r="A2" i="15"/>
  <c r="B66" i="15" s="1"/>
  <c r="B8" i="5"/>
  <c r="B24" i="5"/>
  <c r="B40" i="5"/>
  <c r="B59" i="5"/>
  <c r="B103" i="5"/>
  <c r="B119" i="5"/>
  <c r="B12" i="5"/>
  <c r="B28" i="5"/>
  <c r="B47" i="5"/>
  <c r="B63" i="5"/>
  <c r="B92" i="5"/>
  <c r="B107" i="5"/>
  <c r="B123" i="5"/>
  <c r="B16" i="5"/>
  <c r="B32" i="5"/>
  <c r="B51" i="5"/>
  <c r="B67" i="5"/>
  <c r="B96" i="5"/>
  <c r="B111" i="5"/>
  <c r="B9" i="5"/>
  <c r="B13" i="5"/>
  <c r="B17" i="5"/>
  <c r="B21" i="5"/>
  <c r="B25" i="5"/>
  <c r="B29" i="5"/>
  <c r="B33" i="5"/>
  <c r="B37" i="5"/>
  <c r="B41" i="5"/>
  <c r="B48" i="5"/>
  <c r="B52" i="5"/>
  <c r="B56" i="5"/>
  <c r="B60" i="5"/>
  <c r="B64" i="5"/>
  <c r="B68" i="5"/>
  <c r="B72" i="5"/>
  <c r="B93" i="5"/>
  <c r="B97" i="5"/>
  <c r="B100" i="5"/>
  <c r="B104" i="5"/>
  <c r="B108" i="5"/>
  <c r="B112" i="5"/>
  <c r="B116" i="5"/>
  <c r="B120" i="5"/>
  <c r="B125" i="5"/>
  <c r="B10" i="5"/>
  <c r="B14" i="5"/>
  <c r="B18" i="5"/>
  <c r="B22" i="5"/>
  <c r="B26" i="5"/>
  <c r="B30" i="5"/>
  <c r="B34" i="5"/>
  <c r="B38" i="5"/>
  <c r="B42" i="5"/>
  <c r="B49" i="5"/>
  <c r="B53" i="5"/>
  <c r="B57" i="5"/>
  <c r="B61" i="5"/>
  <c r="B65" i="5"/>
  <c r="B69" i="5"/>
  <c r="B73" i="5"/>
  <c r="B94" i="5"/>
  <c r="B101" i="5"/>
  <c r="B105" i="5"/>
  <c r="B109" i="5"/>
  <c r="B113" i="5"/>
  <c r="B117" i="5"/>
  <c r="B121" i="5"/>
  <c r="B126" i="5"/>
  <c r="B11" i="5"/>
  <c r="B15" i="5"/>
  <c r="B19" i="5"/>
  <c r="B23" i="5"/>
  <c r="B27" i="5"/>
  <c r="B31" i="5"/>
  <c r="B35" i="5"/>
  <c r="B39" i="5"/>
  <c r="B43" i="5"/>
  <c r="B50" i="5"/>
  <c r="B54" i="5"/>
  <c r="B58" i="5"/>
  <c r="B62" i="5"/>
  <c r="B66" i="5"/>
  <c r="B70" i="5"/>
  <c r="B74" i="5"/>
  <c r="B75" i="5"/>
  <c r="B95" i="5"/>
  <c r="B98" i="5"/>
  <c r="B102" i="5"/>
  <c r="B106" i="5"/>
  <c r="B110" i="5"/>
  <c r="B114" i="5"/>
  <c r="B118" i="5"/>
  <c r="B122" i="5"/>
  <c r="B127" i="5"/>
  <c r="C4" i="14"/>
  <c r="C4" i="7"/>
  <c r="C4" i="5"/>
  <c r="B3" i="14"/>
  <c r="B30" i="14"/>
  <c r="B11" i="14"/>
  <c r="B12" i="14"/>
  <c r="B66" i="14"/>
  <c r="B67" i="14"/>
  <c r="B65" i="14"/>
  <c r="B64" i="14"/>
  <c r="B63" i="14"/>
  <c r="B62" i="14"/>
  <c r="B60" i="14"/>
  <c r="B61" i="14"/>
  <c r="B58" i="14"/>
  <c r="B57" i="14"/>
  <c r="B56" i="14"/>
  <c r="B55" i="14"/>
  <c r="B54" i="14"/>
  <c r="B53" i="14"/>
  <c r="B52" i="14"/>
  <c r="B51" i="14"/>
  <c r="B50" i="14"/>
  <c r="B42" i="14"/>
  <c r="B41" i="14"/>
  <c r="B40" i="14"/>
  <c r="B39" i="14"/>
  <c r="B31" i="14"/>
  <c r="B29" i="14"/>
  <c r="B27" i="14"/>
  <c r="B25" i="14"/>
  <c r="B24" i="14"/>
  <c r="B22" i="14"/>
  <c r="B21" i="14"/>
  <c r="B19" i="14"/>
  <c r="B18" i="14"/>
  <c r="B16" i="14"/>
  <c r="B15" i="14"/>
  <c r="B13" i="14"/>
  <c r="B10" i="14"/>
  <c r="B8" i="14"/>
  <c r="B38" i="14"/>
  <c r="B37" i="14"/>
  <c r="B36" i="14"/>
  <c r="B35" i="14"/>
  <c r="B34" i="14"/>
  <c r="B33" i="14"/>
  <c r="B32" i="14"/>
  <c r="B9" i="14"/>
  <c r="B3" i="7"/>
  <c r="B69" i="15" l="1"/>
  <c r="B68" i="15"/>
  <c r="B67" i="15"/>
  <c r="B2" i="21"/>
  <c r="C1" i="24"/>
  <c r="N1" i="20"/>
  <c r="G5" i="15"/>
  <c r="B3" i="5"/>
  <c r="E13" i="10" l="1"/>
  <c r="E101" i="10" l="1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0" i="10"/>
  <c r="E39" i="10"/>
  <c r="E38" i="10"/>
  <c r="E37" i="10"/>
  <c r="E36" i="10"/>
  <c r="E35" i="10"/>
  <c r="E34" i="10"/>
  <c r="E32" i="10"/>
  <c r="E31" i="10"/>
  <c r="E30" i="10"/>
  <c r="E29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2" i="10"/>
  <c r="E11" i="10"/>
  <c r="E10" i="10"/>
  <c r="E9" i="10"/>
  <c r="E8" i="10"/>
</calcChain>
</file>

<file path=xl/sharedStrings.xml><?xml version="1.0" encoding="utf-8"?>
<sst xmlns="http://schemas.openxmlformats.org/spreadsheetml/2006/main" count="1536" uniqueCount="431">
  <si>
    <t>Утверждаю  ___________________</t>
  </si>
  <si>
    <t>Сырая охлажденная  продукция</t>
  </si>
  <si>
    <t>Готовая охлажденная  продукция</t>
  </si>
  <si>
    <t xml:space="preserve"> дата:                                  МП</t>
  </si>
  <si>
    <t>МП</t>
  </si>
  <si>
    <t xml:space="preserve"> дата:                                                </t>
  </si>
  <si>
    <t xml:space="preserve">дата </t>
  </si>
  <si>
    <t xml:space="preserve">время </t>
  </si>
  <si>
    <t>время</t>
  </si>
  <si>
    <t>дата</t>
  </si>
  <si>
    <t>Говяжья вырезка</t>
  </si>
  <si>
    <t>Говяжий Ростбиф</t>
  </si>
  <si>
    <t>Говяжья шея на кости</t>
  </si>
  <si>
    <t>Говяжья шея  без кости</t>
  </si>
  <si>
    <t>Говядина толстый край на кости</t>
  </si>
  <si>
    <t>Говядина толстый край без кости</t>
  </si>
  <si>
    <t>Говядина тазобедренная часть</t>
  </si>
  <si>
    <t>Говяжья лопатка без кости</t>
  </si>
  <si>
    <t>Говяжья лопатка на кости</t>
  </si>
  <si>
    <t>Говяжья лопатка средняя часть на кости</t>
  </si>
  <si>
    <t>Говяжьи ребрышки</t>
  </si>
  <si>
    <t>Говяжья грудинка без кости</t>
  </si>
  <si>
    <t>Говяжья грудинка на кости</t>
  </si>
  <si>
    <t>Говяжий гуляш</t>
  </si>
  <si>
    <t>Говяжье азу</t>
  </si>
  <si>
    <t>Фарш из постной говядины</t>
  </si>
  <si>
    <t xml:space="preserve">Говяжья голяшка без кости </t>
  </si>
  <si>
    <t>Говяжья нога на кости</t>
  </si>
  <si>
    <t>Свиная вырезка</t>
  </si>
  <si>
    <t>Свиной карбонад на кости</t>
  </si>
  <si>
    <t>Свиной карбонад без кости</t>
  </si>
  <si>
    <t>Свиной карбонад на кости (котлета)</t>
  </si>
  <si>
    <t>Свиной карбонад без кости (котлета)</t>
  </si>
  <si>
    <t>Свиная шея на кости</t>
  </si>
  <si>
    <t>Свиная шея без кости</t>
  </si>
  <si>
    <t>Свиная шея на кости  (котлета)</t>
  </si>
  <si>
    <t>Свиная шея без кости (котлета)</t>
  </si>
  <si>
    <t>Свиная лопатка на кости со шкурой</t>
  </si>
  <si>
    <t xml:space="preserve">Свиная лопатка </t>
  </si>
  <si>
    <t>Свиная грудинка на кости со шкурой</t>
  </si>
  <si>
    <t>Свинина тазобедренный отруб</t>
  </si>
  <si>
    <t>Свинина средний отруб</t>
  </si>
  <si>
    <t xml:space="preserve">Свиной окорок </t>
  </si>
  <si>
    <t>Свиной гуляш</t>
  </si>
  <si>
    <t>Свиное азу</t>
  </si>
  <si>
    <t>Фарш из постной свинины</t>
  </si>
  <si>
    <t>Свиная рулька со шкурой</t>
  </si>
  <si>
    <t>Телячья вырезка</t>
  </si>
  <si>
    <t>Телятина антрекотная часть на кости</t>
  </si>
  <si>
    <t>Телятина антрекотная часть на кости котлета</t>
  </si>
  <si>
    <t>Телятина антрекотная часть без кости</t>
  </si>
  <si>
    <t>Телятина антрекотная часть нарезка</t>
  </si>
  <si>
    <t>Телятина толстый край без кости</t>
  </si>
  <si>
    <t>Телятина толстый край на кости</t>
  </si>
  <si>
    <t>Телятина тазобедренная часть</t>
  </si>
  <si>
    <t>Телячья лопатка без кости</t>
  </si>
  <si>
    <t>Телячьи ребрышки</t>
  </si>
  <si>
    <t>Телячья нога на кости</t>
  </si>
  <si>
    <t>Телячья грудинка без кости</t>
  </si>
  <si>
    <t>Телячья грудинка на кости</t>
  </si>
  <si>
    <t>Телячья голяшка без кости</t>
  </si>
  <si>
    <t>Телячий фарш</t>
  </si>
  <si>
    <t>Бараний окорок на кости</t>
  </si>
  <si>
    <t>Баранья корейка</t>
  </si>
  <si>
    <t>Баранья котлета натуральная на кости</t>
  </si>
  <si>
    <t>Бараний окорок без кости</t>
  </si>
  <si>
    <t>Баранина духовая</t>
  </si>
  <si>
    <t>Баранья лопатка на кости</t>
  </si>
  <si>
    <t>Бараний фарш</t>
  </si>
  <si>
    <t>Баранье рагу</t>
  </si>
  <si>
    <t>Бараний шницель</t>
  </si>
  <si>
    <t xml:space="preserve">Бараний суповой набор </t>
  </si>
  <si>
    <t xml:space="preserve">Баранья шея </t>
  </si>
  <si>
    <t>Баранья голяшка</t>
  </si>
  <si>
    <t>Свиное сердце</t>
  </si>
  <si>
    <t xml:space="preserve">Свиная печень </t>
  </si>
  <si>
    <t>Свиной язык</t>
  </si>
  <si>
    <t>Говяжий язык</t>
  </si>
  <si>
    <t>Говяжье сердце</t>
  </si>
  <si>
    <t>Говяжья печень</t>
  </si>
  <si>
    <t>Шашлык "Пикантный" ГЛОБУС</t>
  </si>
  <si>
    <t>Шашлык "Аппетитный" ГЛОБУС</t>
  </si>
  <si>
    <t>Шашлык из свинины "Экстра" ГЛОБУС</t>
  </si>
  <si>
    <t>Шашлык из свиной вырезки  ГЛОБУС</t>
  </si>
  <si>
    <t>Шашлык из свиной шеи ГЛОБУС</t>
  </si>
  <si>
    <t>Шашлык из свиной грудинки ГЛОБУС</t>
  </si>
  <si>
    <t>Свиная шея на кости в маринаде ГЛОБУС</t>
  </si>
  <si>
    <t>Свиная шея без кости в маринаде ГЛОБУС</t>
  </si>
  <si>
    <t>Свиной карбонад без кости в маринаде ГЛОБУС</t>
  </si>
  <si>
    <t>Свиной карбонад на кости в маринаде ГЛОБУС</t>
  </si>
  <si>
    <t xml:space="preserve">Свиная грудинка со шкурой в маринаде ГЛОБУС </t>
  </si>
  <si>
    <t xml:space="preserve">Свиные ребра для гриля в маринаде ГЛОБУС </t>
  </si>
  <si>
    <t xml:space="preserve">Свиные ребрышки "Люкс" в маринаде ГЛОБУС </t>
  </si>
  <si>
    <t>Бараньи ребрышки-гриль ГЛОБУС</t>
  </si>
  <si>
    <t>Баранина в маринаде ГЛОБУС</t>
  </si>
  <si>
    <t>Колбаски для гриля ГЛОБУС</t>
  </si>
  <si>
    <t>Колбаски свиные для жарки ГЛОБУС</t>
  </si>
  <si>
    <t>Люля-кебаб ГЛОБУС</t>
  </si>
  <si>
    <t>Котлеты "Домашние" ГЛОБУС</t>
  </si>
  <si>
    <t>Гамбургер "Говяжий" ГЛОБУС</t>
  </si>
  <si>
    <t>Свиная шея для запекания (буженина) ГЛОБУС</t>
  </si>
  <si>
    <t>Свиной окорок для запекания (буженина) ГЛОБУС</t>
  </si>
  <si>
    <t>Шашлык из свинины "По-Русски" ГЛОБУС</t>
  </si>
  <si>
    <t xml:space="preserve"> Колбаса вареная "Лионская" ГЛОБУС</t>
  </si>
  <si>
    <t xml:space="preserve"> Колбаса вареная "Лионская" ГЛОБУС нарезка</t>
  </si>
  <si>
    <t xml:space="preserve"> Колбаса вареная "Лионская" ГЛОБУС и\о  </t>
  </si>
  <si>
    <t>Колбаса вареная ГЛОБУС и/о</t>
  </si>
  <si>
    <t xml:space="preserve">Колбаса вареная ГЛОБУС </t>
  </si>
  <si>
    <t xml:space="preserve"> Колбаса вареная "Альпийская" ГЛОБУС</t>
  </si>
  <si>
    <t xml:space="preserve"> Колбаса вареная "Альпийская" ГЛОБУС нарезка  </t>
  </si>
  <si>
    <t xml:space="preserve"> Колбаса вареная "Альпийская" ГЛОБУС и\о  </t>
  </si>
  <si>
    <t xml:space="preserve">Колбаса вареная "Любимая" ГЛОБУС </t>
  </si>
  <si>
    <t xml:space="preserve">Колбаса вареная "Любимая" ГЛОБУС нарезка </t>
  </si>
  <si>
    <t xml:space="preserve">Колбаса вареная "Любимая" ГЛОБУС и\о </t>
  </si>
  <si>
    <t xml:space="preserve"> Колбаса вареная "Традиционная" ГЛОБУС </t>
  </si>
  <si>
    <t xml:space="preserve"> Колбаса вареная "Традиционная"ГЛОБУС  нарезка </t>
  </si>
  <si>
    <t xml:space="preserve"> Колбаса вареная "Традиционная"ГЛОБУС и\о</t>
  </si>
  <si>
    <t>Колбаса вареная "По-Чешски" ГЛОБУС</t>
  </si>
  <si>
    <t xml:space="preserve">Колбаса вареная "По-Чешски" ГЛОБУС нарезка </t>
  </si>
  <si>
    <t xml:space="preserve">Колбаса вареная "По-Чешски" ГЛОБУС и\о </t>
  </si>
  <si>
    <t>Колбаса вареная "Охотничья" ГЛОБУС</t>
  </si>
  <si>
    <t>Колбаса вареная "Охотничья" ГЛОБУС  нарезка</t>
  </si>
  <si>
    <t>Колбаса вареная "Охотничья" ГЛОБУС  и/о</t>
  </si>
  <si>
    <t xml:space="preserve"> Шпикачки "По-Чешски" ГЛОБУС</t>
  </si>
  <si>
    <t>Сардельки ГЛОБУС</t>
  </si>
  <si>
    <t>Сардельки ветчинные с сыром ГЛОБУС</t>
  </si>
  <si>
    <t>Сосиски ГЛОБУС</t>
  </si>
  <si>
    <t>Сосиски   "Венские" ГЛОБУС</t>
  </si>
  <si>
    <t>Сосиски ветчинные с сыром ГЛОБУС</t>
  </si>
  <si>
    <t>Колбаски вареные "Нюрнбергские" ГЛОБУС</t>
  </si>
  <si>
    <t>Мясной хлеб "По-Баварски" ГЛОБУС</t>
  </si>
  <si>
    <t>Мясной хлеб "Пицца" ГЛОБУС</t>
  </si>
  <si>
    <t>Колбаски полукопченые "Амурские" ГЛОБУС</t>
  </si>
  <si>
    <t>Колбаса полукопченая ГЛОБУС</t>
  </si>
  <si>
    <t xml:space="preserve">Колбаски полукопченые бараньи ГЛОБУС  </t>
  </si>
  <si>
    <t>Паштет "Щелковский" ГЛОБУС и/о</t>
  </si>
  <si>
    <t>Зельц ГЛОБУС</t>
  </si>
  <si>
    <t>Зельц ГЛОБУС нарезка</t>
  </si>
  <si>
    <t>Колбаса вареная "Печеночная" ГЛОБУС</t>
  </si>
  <si>
    <t>Колбаса полукопченая "Амурская" ГЛОБУС</t>
  </si>
  <si>
    <t>Колбаса полукопченая "Амурская" ГЛОБУС  нарезка</t>
  </si>
  <si>
    <t>Карбонад варено-копченый без кости ГЛОБУС</t>
  </si>
  <si>
    <t>Карбонад варено-копченый без кости ГЛОБУС нарезка</t>
  </si>
  <si>
    <t xml:space="preserve">Карбонад варено-копченый на кости ГЛОБУС                            </t>
  </si>
  <si>
    <t xml:space="preserve">Шпик "По-Климовски" варено-копченый  ГЛОБУС </t>
  </si>
  <si>
    <t xml:space="preserve">Шпик "По-Климовски" варено-копченый  ГЛОБУС нарезка </t>
  </si>
  <si>
    <t>Ребрышки варено-копченые ГЛОБУС</t>
  </si>
  <si>
    <t>Рулька со специями варено-копченая ГЛОБУС</t>
  </si>
  <si>
    <t xml:space="preserve">Карбонад б/к в специях варено-копченый ГЛОБУС </t>
  </si>
  <si>
    <t>Карбонад б/к в специях варено-копченый ГЛОБУС нарезка</t>
  </si>
  <si>
    <t xml:space="preserve">Шея в специях варено-копченая ГЛОБУС </t>
  </si>
  <si>
    <t>Шея в специях варено-копченая ГЛОБУС нарезка</t>
  </si>
  <si>
    <t>Говядина варено-копченая ГЛОБУС</t>
  </si>
  <si>
    <t>Говядина варено-копченая ГЛОБУС нарезка</t>
  </si>
  <si>
    <t>Окорок ветчинный варено-копченый ГЛОБУС</t>
  </si>
  <si>
    <t>Окорок ветчинный варено-копченый ГЛОБУС нарезка</t>
  </si>
  <si>
    <t xml:space="preserve">Окорок ветчинный варено-копченый ГЛОБУС в сетке </t>
  </si>
  <si>
    <t>Окорок ветчинный варено-копченый ГЛОБУС в сетке нарезка</t>
  </si>
  <si>
    <t>Ветчина "Деликатесная Говяжья" ГЛОБУС</t>
  </si>
  <si>
    <t>Ветчина "Деликатесная Говяжья" ГЛОБУС нарезка</t>
  </si>
  <si>
    <t>Ветчина "Деликатесная Свиная" ГЛОБУС</t>
  </si>
  <si>
    <t>Ветчина "Деликатесная Свиная" ГЛОБУС нарезка</t>
  </si>
  <si>
    <t>Ветчина "Праздничная" ГЛОБУС</t>
  </si>
  <si>
    <t>Ветчина "Праздничная" ГЛОБУС нарезка</t>
  </si>
  <si>
    <t xml:space="preserve">Шейка запеченная ГЛОБУС </t>
  </si>
  <si>
    <t>Шейка запеченная ГЛОБУС  нарезка</t>
  </si>
  <si>
    <t xml:space="preserve">Буженина запеченная ГЛОБУС </t>
  </si>
  <si>
    <t>Буженина запеченная ГЛОБУС нарезка</t>
  </si>
  <si>
    <t>Грудинка со специями варено-копченая ГЛОБУС без кости</t>
  </si>
  <si>
    <t>Грудинка со специями варено-копченая ГЛОБУС без кости нарезка</t>
  </si>
  <si>
    <t xml:space="preserve">Грудинка со специями варено-копченая ГЛОБУС на кости </t>
  </si>
  <si>
    <t xml:space="preserve">Грудинка "Деликатесная" варено-копченая ГЛОБУС </t>
  </si>
  <si>
    <t>Грудинка "Деликатесная" варено-копченая ГЛОБУС  нарезка</t>
  </si>
  <si>
    <t>Шпик  в специях ГЛОБУС</t>
  </si>
  <si>
    <t>Шпик в специях ГЛОБУС нарезка</t>
  </si>
  <si>
    <t>Карбонад варено-копченый на кости ГЛОБУС</t>
  </si>
  <si>
    <t>Сосиски "Вайсвурст" ГЛОБУС</t>
  </si>
  <si>
    <t>Колбаски "Вайсвурст" ГЛОБУС</t>
  </si>
  <si>
    <t>Окорок ветчинный варено-копченый  ГЛОБУС</t>
  </si>
  <si>
    <t>Паштет "Щелковский" ГЛОБУС н/о</t>
  </si>
  <si>
    <t>Сервелат варено-копченый «Сибирский» ГЛОБУС</t>
  </si>
  <si>
    <t>Колбаса варено-копченая «Императорская» ГЛОБУС</t>
  </si>
  <si>
    <t>Сервелат варено-копченый «Сибирский» ГЛОБУС нарезка</t>
  </si>
  <si>
    <t>Колбаса варено-копченая «Императорская» ГЛОБУС нарезка</t>
  </si>
  <si>
    <t>окончание срока годности</t>
  </si>
  <si>
    <t>нарезка</t>
  </si>
  <si>
    <t>Дата и время начала предпродажной подготовки продукции представленных на витринах мясного цеха с обслуживанием покупателей</t>
  </si>
  <si>
    <t>Свиная рулька без шкуры</t>
  </si>
  <si>
    <t xml:space="preserve">СВИНАЯ ЛОПАТКА НА КОСТИ СО ШКУРОЙ </t>
  </si>
  <si>
    <t xml:space="preserve">СВИНАЯ ГОЛЯШКА СО ШКУРОЙ </t>
  </si>
  <si>
    <t xml:space="preserve"> ГОВЯЖИЙ МЯСОКОСТНЫЙ ХВОСТ</t>
  </si>
  <si>
    <t>Колбаса вареная ГЛОБУС и/о нарезка</t>
  </si>
  <si>
    <t xml:space="preserve"> Колбаса вареная "Лионская" ГЛОБУС и/о нарезка</t>
  </si>
  <si>
    <t xml:space="preserve"> Колбаса вареная "Альпийская" ГЛОБУС и/о нарезка  </t>
  </si>
  <si>
    <t xml:space="preserve">Колбаса вареная "Любимая" ГЛОБУС и/о нарезка </t>
  </si>
  <si>
    <t xml:space="preserve"> Колбаса вареная "Традиционная"ГЛОБУС и/о нарезка </t>
  </si>
  <si>
    <t xml:space="preserve">Колбаса вареная "По-Чешски" ГЛОБУС и/о нарезка </t>
  </si>
  <si>
    <t>Колбаса вареная "Охотничья" ГЛОБУС  и/о нарезка</t>
  </si>
  <si>
    <t>Котлеты "Советские" ГЛОБУС</t>
  </si>
  <si>
    <t>Шницель свиной жареный ГЛОБУС</t>
  </si>
  <si>
    <t>Люля кебаб жареные ГЛОБУС</t>
  </si>
  <si>
    <t>Колбаски бараньи жареные ГЛОБУС</t>
  </si>
  <si>
    <t>Колбаска "Шашлычная" ГЛОБУС</t>
  </si>
  <si>
    <t xml:space="preserve">Свиные ребрышки "Люкс" жареные ГЛОБУС </t>
  </si>
  <si>
    <t xml:space="preserve">Котлеты "Советские" жареные ГЛОБУС </t>
  </si>
  <si>
    <t>Сосиски смак</t>
  </si>
  <si>
    <t>Колбаса вареная "Печеночная" ГЛОБУС и/о</t>
  </si>
  <si>
    <t xml:space="preserve">Сосиски Смак ГЛОБУС </t>
  </si>
  <si>
    <t>Колбаса Смак</t>
  </si>
  <si>
    <t>Сосиски Смак Глобус</t>
  </si>
  <si>
    <t xml:space="preserve">Сосиски ГЛОБУС </t>
  </si>
  <si>
    <t>Колбаса Смак и/о Нарезка</t>
  </si>
  <si>
    <t xml:space="preserve">Котлеты "Домашние" жареные ГЛОБУС </t>
  </si>
  <si>
    <t>ФИО</t>
  </si>
  <si>
    <t>Начальник мясного цеха 
Пискунов.А.А</t>
  </si>
  <si>
    <t>Заместитель начальника мясного цеха 
Бабин.П.И</t>
  </si>
  <si>
    <t>Заместитель начальника мясного цеха 
по продажам Лащакова.З.А</t>
  </si>
  <si>
    <t>Колбаса вареная "Печеночная" ГЛОБУС н/о</t>
  </si>
  <si>
    <t>Мясной хлеб "По-Баварски" ГЛОБУС нарезка</t>
  </si>
  <si>
    <t>Мясной хлеб "Пицца" ГЛОБУС нарезка</t>
  </si>
  <si>
    <t>Ветчина в натуральной оболочке Глобус</t>
  </si>
  <si>
    <t>Ветчина в натуральной оболочке Глобус нарезка</t>
  </si>
  <si>
    <t>Ветчина ГЛОБУС Н/О</t>
  </si>
  <si>
    <t xml:space="preserve">Карбонад б/к  варено-копченый ГЛОБУС </t>
  </si>
  <si>
    <t>Карбонад б/к  варено-копченый ГЛОБУС нарезка</t>
  </si>
  <si>
    <t xml:space="preserve"> </t>
  </si>
  <si>
    <t>Фамилия:</t>
  </si>
  <si>
    <t>Дата:</t>
  </si>
  <si>
    <t>Для ВМБ Шоп</t>
  </si>
  <si>
    <t>Дата</t>
  </si>
  <si>
    <t>Время</t>
  </si>
  <si>
    <t xml:space="preserve">Зельц "Языковый" </t>
  </si>
  <si>
    <t>Колбаса вареная ГЛОБУС н/о нарезка</t>
  </si>
  <si>
    <t>Колбаса Смак н/о Нарезка</t>
  </si>
  <si>
    <t>Колбаса вареная  Молочная ГЛОБУС н/о</t>
  </si>
  <si>
    <t>Паштет "Щелковский" ГЛОБУС и/о 1 шт(190гр)</t>
  </si>
  <si>
    <t>Колбаса вареная "Печеночная" ГЛОБУС и/о 1 шт(190гр)</t>
  </si>
  <si>
    <t>Колбаса вареная "Смак" ГЛОБУС и/о 1 шт(320гр)</t>
  </si>
  <si>
    <t>Ветчина ГЛОБУС и/о 1 шт (320гр)</t>
  </si>
  <si>
    <t xml:space="preserve"> Колбаса вареная "Лионская" ГЛОБУС и/о 1 шт(320гр)</t>
  </si>
  <si>
    <t xml:space="preserve"> Колбаса вареная "Альпийская" ГЛОБУС и/о 1 шт(320гр)</t>
  </si>
  <si>
    <t>Колбаса вареная "Любимая" ГЛОБУС и/о 1 шт(320гр)</t>
  </si>
  <si>
    <t xml:space="preserve"> Колбаса вареная "Традиционная"ГЛОБУС и/о 1 шт(320гр)</t>
  </si>
  <si>
    <t>Колбаса вареная "По-Чешски" ГЛОБУС и/о 1 шт(320гр)</t>
  </si>
  <si>
    <t xml:space="preserve">журнал термообработки                 </t>
  </si>
  <si>
    <t>ПЛУ</t>
  </si>
  <si>
    <t>Время производства вакуумной упаковки</t>
  </si>
  <si>
    <t>Номер партии изделий в/у</t>
  </si>
  <si>
    <t>Наименование продукции</t>
  </si>
  <si>
    <t>Номер партии продукции для производства вакуумной упаковки</t>
  </si>
  <si>
    <t>Карбонад варено-копченый без кости ГЛОБУС нарезка в/у</t>
  </si>
  <si>
    <t>Шея в специях варено-копченая ГЛОБУС нарезка в/у</t>
  </si>
  <si>
    <t>Говядина варено-копченая ГЛОБУС нарезка в/у</t>
  </si>
  <si>
    <t>Окорок ветчинный варено-копченый ГЛОБУС нарезка в/у</t>
  </si>
  <si>
    <t>Ветчина "Праздничная" ГЛОБУС нарезка в/у</t>
  </si>
  <si>
    <t>Сардельки ГЛОБУС в/у</t>
  </si>
  <si>
    <t>Сосиски ГЛОБУС в/у</t>
  </si>
  <si>
    <t>Сосиски "Вайсвурст" ГЛОБУС в/у</t>
  </si>
  <si>
    <t>Мясной хлеб "По-Баварски" ГЛОБУС в/у</t>
  </si>
  <si>
    <t>Колбаски полукопченые бараньи ГЛОБУС в/у</t>
  </si>
  <si>
    <t>Данные внёс в журнал:</t>
  </si>
  <si>
    <t xml:space="preserve"> Шпикачки "По-Чешски" ГЛОБУС в/у</t>
  </si>
  <si>
    <t>Сосиски ветчинные с сыром ГЛОБУС в/у</t>
  </si>
  <si>
    <t>Сосиски "Смак" ГЛОБУС  в/у</t>
  </si>
  <si>
    <t>Сосиски   "Венские" ГЛОБУС в/у</t>
  </si>
  <si>
    <t xml:space="preserve">Мясной хлеб "По-Баварски" ГЛОБУС в/у нарезка </t>
  </si>
  <si>
    <t>Мясной хлеб "Пицца" ГЛОБУС в/у</t>
  </si>
  <si>
    <t xml:space="preserve">Мясной хлеб "Пицца" ГЛОБУС в/у нарезка  </t>
  </si>
  <si>
    <t>Колбаса вареная ГЛОБУС и/о кусок</t>
  </si>
  <si>
    <t xml:space="preserve">Колбаса вареная ГЛОБУС и/о в/у нарезка </t>
  </si>
  <si>
    <t>Колбаски полукопченые "Амурские" ГЛОБУС в/у</t>
  </si>
  <si>
    <t>Колбаса полукопченая Глобус в/у</t>
  </si>
  <si>
    <t>Колбаски варёные "Нюрнбергские" ГЛОБУС в/у</t>
  </si>
  <si>
    <t>Колбаса вареная "Печеночная" ГЛОБУС  нат\об в/у</t>
  </si>
  <si>
    <t>Зельц Языковой ГЛОБУС в/у</t>
  </si>
  <si>
    <t xml:space="preserve">Зельц Языковой ГЛОБУС в/у нарезка </t>
  </si>
  <si>
    <t>Зельц ГЛОБУС в/у</t>
  </si>
  <si>
    <t xml:space="preserve">Зельц ГЛОБУС  в/у нарезка </t>
  </si>
  <si>
    <t>Сервелат варено-копченый "Сибирский" ГЛОБУС в/у</t>
  </si>
  <si>
    <t>Сервелат варено-копченый "Сибирский" ГЛОБУС в/у нарезка</t>
  </si>
  <si>
    <t>Колбаса варено-копченая " Императорская" Глобус в/у</t>
  </si>
  <si>
    <t>Колбаса варено-копченая " Императорская" Глобус в/у нарезка</t>
  </si>
  <si>
    <t>Карбонад варено-копченый без кости ГЛОБУС  в/у</t>
  </si>
  <si>
    <t>Шпик "По-Климовски" варено-копченый  ГЛОБУС  в/у</t>
  </si>
  <si>
    <t>Шпик "По-Климовски" варено-копченый  ГЛОБУС нарезка в/у</t>
  </si>
  <si>
    <t>Карбонад б/к в специях варено-копченый ГЛОБУС в/у</t>
  </si>
  <si>
    <t>Карбонад б/к в специях варено-копченый ГЛОБУС нарезка в/у</t>
  </si>
  <si>
    <t>Шея в специях варено-копченая ГЛОБУС в/у</t>
  </si>
  <si>
    <t>Говядина варено-копченая ГЛОБУС в/у</t>
  </si>
  <si>
    <t>Окорок ветчинный варено-копченый ГЛОБУС в/у</t>
  </si>
  <si>
    <t>Окорок ветчинный варено-копченый ГЛОБУС в сетке в/у</t>
  </si>
  <si>
    <t>Окорок ветчинный варено-копченый ГЛОБУС в сетке нарезка в/у</t>
  </si>
  <si>
    <t>Шейка запеченная ГЛОБУС в/у</t>
  </si>
  <si>
    <t>Шейка запеченная ГЛОБУС  нарезка в/у</t>
  </si>
  <si>
    <t>Буженина запеченная ГЛОБУС в/у</t>
  </si>
  <si>
    <t>Буженина запеченная ГЛОБУС нарезка в/у</t>
  </si>
  <si>
    <t>Грудинка со специями варено-копченая ГЛОБУС без кости в/у</t>
  </si>
  <si>
    <t>Грудинка со специями варено-копченая ГЛОБУС без кости нарезка в/у</t>
  </si>
  <si>
    <t>Грудинка со специями варено-копченая ГЛОБУС на кости в/у</t>
  </si>
  <si>
    <t>Грудинка деликатесная Глобус в/у</t>
  </si>
  <si>
    <t>Грудинка деликатесная Глобус нарезка в/у</t>
  </si>
  <si>
    <t>Шпик  в специях ГЛОБУС в/у</t>
  </si>
  <si>
    <t>Шпик в специях ГЛОБУС нарезка в/у</t>
  </si>
  <si>
    <t>Ветчина "Деликатесная Говяжья" ГЛОБУС в/у</t>
  </si>
  <si>
    <t>Ветчина "Деликатесная Говяжья" ГЛОБУС нарезка в/у</t>
  </si>
  <si>
    <t>Ветчина "Деликатесная Свиная" ГЛОБУС в/у</t>
  </si>
  <si>
    <t>Ветчина "Деликатесная Свиная" ГЛОБУС нарезка в/у</t>
  </si>
  <si>
    <t>Ветчина "Праздничная" ГЛОБУС в/у</t>
  </si>
  <si>
    <t>Сосиски ветчинные с сыром ГЛОБУС Н/О</t>
  </si>
  <si>
    <t>Касслер для Ресторана</t>
  </si>
  <si>
    <t xml:space="preserve">Свинина прессованная варено-копченая ГЛОБУС </t>
  </si>
  <si>
    <t>Свинина прессованная варено-копченая ГЛОБУС нарезка</t>
  </si>
  <si>
    <t xml:space="preserve"> Зельц "Языковый" от мастеров МЯСНОГО ЦЕХА ГЛОБУС батон</t>
  </si>
  <si>
    <t>Сосиски ветчинные с сыром ГЛОБУС н/о в/у</t>
  </si>
  <si>
    <t>Номер партии</t>
  </si>
  <si>
    <t>Грудинка деликатесная Глобус нарезка</t>
  </si>
  <si>
    <t>Журнал реализации готовой продукции на витринах МЦ</t>
  </si>
  <si>
    <t xml:space="preserve">Время выклдаки продукции </t>
  </si>
  <si>
    <t xml:space="preserve">Дата: </t>
  </si>
  <si>
    <t>08:00</t>
  </si>
  <si>
    <t>Колбаски бараньи жареные Глобус</t>
  </si>
  <si>
    <t>Котлеты "Домашние" жареные ГЛОБУС</t>
  </si>
  <si>
    <t>Котлеты " Советские" жареные Глобус</t>
  </si>
  <si>
    <t xml:space="preserve">Люля-кебаб жареные Глобус </t>
  </si>
  <si>
    <t xml:space="preserve">Колбаска Шашлычная Глобус </t>
  </si>
  <si>
    <t>Свиные ребрышки Люкс в маринаде жареные Глобус</t>
  </si>
  <si>
    <t>Фамилия 1 смена:</t>
  </si>
  <si>
    <t>Фамилия 2 смена:</t>
  </si>
  <si>
    <t xml:space="preserve">Свинина прессованная варено-копченая ГЛОБУС кусок в/у </t>
  </si>
  <si>
    <t xml:space="preserve">Свинина прессованная варено-копченая ГЛОБУС нарезка в/у </t>
  </si>
  <si>
    <t>Срок до</t>
  </si>
  <si>
    <t>Накопитель ГП</t>
  </si>
  <si>
    <t xml:space="preserve">Термистам </t>
  </si>
  <si>
    <t>Заместитель начальника мясного цеха 
Шарымов.А.С</t>
  </si>
  <si>
    <t>Шашлык из свиной ГЛОБУС</t>
  </si>
  <si>
    <t>Фарш "Смешанный из свинины и говядины" от мастеров МЯСНОГО ЦЕХА ГЛОБУС</t>
  </si>
  <si>
    <t>Фарш  "Любимый" ГЛОБУС</t>
  </si>
  <si>
    <t>Фарш котлетный свиной</t>
  </si>
  <si>
    <t>Телятина на кости  (лопатка; окорок)</t>
  </si>
  <si>
    <t xml:space="preserve">Шницель свиной для жарки ГЛОБУС  </t>
  </si>
  <si>
    <t>Карбонад б/к  варено-копченый ГЛОБУС</t>
  </si>
  <si>
    <t>006 (МЛ) Журнал реализации готовой продукции и кулинарных изделий в МЛ</t>
  </si>
  <si>
    <t>Время начала реализации партии</t>
  </si>
  <si>
    <t>Котлеты "Домашние" жареные ГЛОБУС(185 гр)</t>
  </si>
  <si>
    <t>Шницель свиной жареный ГЛОБУС(220 гр)</t>
  </si>
  <si>
    <t>Люля кебаб жареные ГЛОБУС(130 гр)</t>
  </si>
  <si>
    <t>Колбаски бараньи жареные ГЛОБУС(120 гр)</t>
  </si>
  <si>
    <t>Колбаска "Шашлычная" ГЛОБУС(130 гр)</t>
  </si>
  <si>
    <t>Котлеты "Советские" жареные ГЛОБУС (140 гр)</t>
  </si>
  <si>
    <t xml:space="preserve">005 (МЛ) Журнал термической обработки кулинарных изделий в мясной лавке </t>
  </si>
  <si>
    <t>Время начала реализации (только для булочек)</t>
  </si>
  <si>
    <t>Количество</t>
  </si>
  <si>
    <t>Номер партии (промежуточный)</t>
  </si>
  <si>
    <t>Номер пароконвектомата или сковороды</t>
  </si>
  <si>
    <t>Продолжительность термообработки</t>
  </si>
  <si>
    <t xml:space="preserve">Температура внутри продукта </t>
  </si>
  <si>
    <t>Органолептическая оценка изделия</t>
  </si>
  <si>
    <t>Фамилия ответственного</t>
  </si>
  <si>
    <t xml:space="preserve">кг / шт (для соусов и булочек в шт) </t>
  </si>
  <si>
    <t>№</t>
  </si>
  <si>
    <t xml:space="preserve">начало </t>
  </si>
  <si>
    <t xml:space="preserve">окончание </t>
  </si>
  <si>
    <t>t° С</t>
  </si>
  <si>
    <t xml:space="preserve">Мясной хлеб "Пицца" ГЛОБУС </t>
  </si>
  <si>
    <t xml:space="preserve">Сосиски ГЛОБУС для Хот-дога ГЛОБУС             </t>
  </si>
  <si>
    <t xml:space="preserve">Сосиски ГЛОБУС Вайсвурст для Хот-дога ГЛОБУС Вайсвурст </t>
  </si>
  <si>
    <t>Колбаска жареная "Шашлычная" ГЛОБУС</t>
  </si>
  <si>
    <t>Соус Горчичный</t>
  </si>
  <si>
    <t>Соус Бургер</t>
  </si>
  <si>
    <t>Кетчуп</t>
  </si>
  <si>
    <t xml:space="preserve">Горчица </t>
  </si>
  <si>
    <t>Сосус Сырный</t>
  </si>
  <si>
    <t xml:space="preserve">Смесь Мокрый панад </t>
  </si>
  <si>
    <t>Мука</t>
  </si>
  <si>
    <t xml:space="preserve">Соль повареная </t>
  </si>
  <si>
    <t xml:space="preserve">Сухари понировочные </t>
  </si>
  <si>
    <t xml:space="preserve">Масло для фритюра </t>
  </si>
  <si>
    <t>Булочка Арбатская</t>
  </si>
  <si>
    <t>Булочка Хот-дог</t>
  </si>
  <si>
    <t>Данные в журнал внес:</t>
  </si>
  <si>
    <t>Ребрышки говяжьи "Для Барбекю" ГЛОБУС</t>
  </si>
  <si>
    <t>Ребрышки свиные "Для Барбекю" ГЛОБУС</t>
  </si>
  <si>
    <t>Рулька свиная "Для Барбекю" ГЛОБУС</t>
  </si>
  <si>
    <t>Котлеты "Домашние" жареные ГЛОБУС в/у</t>
  </si>
  <si>
    <t>Шницель свиной жареный ГЛОБУС в/у</t>
  </si>
  <si>
    <t>Колбаска "Шашлычная" ГЛОБУС в/у</t>
  </si>
  <si>
    <t>Котлеты "Советские" жареные ГЛОБУС  в/у</t>
  </si>
  <si>
    <t>-</t>
  </si>
  <si>
    <t xml:space="preserve"> Колбаса вареная "Любимая" ГЛОБУС</t>
  </si>
  <si>
    <t>008 (ВУ) Журнал регистрации номера партии продукции при производстве вакуумной упаковки</t>
  </si>
  <si>
    <t xml:space="preserve"> Колбаса вареная "Лионская" ГЛОБУС и/о в/у</t>
  </si>
  <si>
    <t xml:space="preserve"> Колбаса вареная "Лионская" ГЛОБУС и/о в/у нарезка </t>
  </si>
  <si>
    <t>Колбаса вареная "Любимая" ГЛОБУС и/о в/у</t>
  </si>
  <si>
    <t xml:space="preserve">Колбаса вареная "Любимая" ГЛОБУС и/о в/у нарезка </t>
  </si>
  <si>
    <t>Колбаса вареная "По-Чешски" ГЛОБУС и/о в/у</t>
  </si>
  <si>
    <t>Колбаса вареная "По-Чешски" ГЛОБУС и/о нарезка в/у</t>
  </si>
  <si>
    <t xml:space="preserve">Номер партии </t>
  </si>
  <si>
    <t>Карбонад варено-копченый "Карамельный изыск" от мастеров МЯСНОГО ЦЕХА ГЛОБУС</t>
  </si>
  <si>
    <t xml:space="preserve">Карбонад варено-копченый "Карамельный изыск" </t>
  </si>
  <si>
    <t xml:space="preserve">Окорок варено-копченый в сетке "Карамельный изыск" от мастеров МЯСНОГО ЦЕХА ГЛОБУС </t>
  </si>
  <si>
    <t xml:space="preserve">Грудинка варено-копченая "Карамельный изыск" от мастеров МЯСНОГО ЦЕХА ГЛОБУС </t>
  </si>
  <si>
    <t xml:space="preserve">Окорок варено-копченый в сетке "Карамельный изыск" </t>
  </si>
  <si>
    <t xml:space="preserve">Грудинка варено-копченая "Карамельный изыск" </t>
  </si>
  <si>
    <t>Карбонад варено-копченый "Карамельный изыск" от мастеров МЯСНОГО ЦЕХА ГЛОБУС кусок в/у</t>
  </si>
  <si>
    <t>Карбонад варено-копченый "Карамельный изыск" от мастеров МЯСНОГО ЦЕХА ГЛОБУС нарезка в/у</t>
  </si>
  <si>
    <t>Окорок варено-копченый в сетке "Карамельный изыск" от мастеров МЯСНОГО ЦЕХА ГЛОБУС кусок в/у</t>
  </si>
  <si>
    <t>Окорок варено-копченый в сетке "Карамельный изыск" от мастеров МЯСНОГО ЦЕХА ГЛОБУС нарезка в/у</t>
  </si>
  <si>
    <t>Грудинка варено-копченая "Карамельный изыск" от мастеров МЯСНОГО ЦЕХА ГЛОБУС кусок в/у</t>
  </si>
  <si>
    <t>Грудинка варено-копченая "Карамельный изыск" от мастеров МЯСНОГО ЦЕХА ГЛОБУС нарезка в/у</t>
  </si>
  <si>
    <t>Карбонад варено-копченый "Карамельный изыск" от мастеров МЯСНОГО ЦЕХА ГЛОБУС нарезка</t>
  </si>
  <si>
    <t>Окорок варено-копченый в сетке "Карамельный изыск" от мастеров МЯСНОГО ЦЕХА ГЛОБУС нарезка</t>
  </si>
  <si>
    <t>Грудинка варено-копченая "Карамельный изыск" от мастеров МЯСНОГО ЦЕХА ГЛОБУС нарезка</t>
  </si>
  <si>
    <t>Информация о сроках до:</t>
  </si>
  <si>
    <t>Обновлено: 01.12.2025 6:24:31</t>
  </si>
  <si>
    <t>Обновлено: 02.12.2025 7:13:21</t>
  </si>
  <si>
    <t>Обновлено: 18.12.2025 7:40:45</t>
  </si>
  <si>
    <t>Обновлено: 17.04.2026 14:43:16</t>
  </si>
  <si>
    <t>Ассистент МЦ 
Шургучиева.И.В</t>
  </si>
  <si>
    <t xml:space="preserve">Говядина томленая от мастеров МЯСНОГО ЦЕХА ГЛОБУС </t>
  </si>
  <si>
    <t xml:space="preserve">Свинина томленая от мастеров МЯСНОГО ЦЕХА ГЛОБУС </t>
  </si>
  <si>
    <t xml:space="preserve">Ветчина ГЛОБУС и/о </t>
  </si>
  <si>
    <t xml:space="preserve">Колбаса вареная "Смак" ГЛОБУС и/о </t>
  </si>
  <si>
    <t>Шпикачки "По-Чешски" ГЛОБУС</t>
  </si>
  <si>
    <t>piskunov</t>
  </si>
  <si>
    <t>babin</t>
  </si>
  <si>
    <t>lashchakova</t>
  </si>
  <si>
    <t>sharymov</t>
  </si>
  <si>
    <t>sharymova</t>
  </si>
  <si>
    <t>Обновлено: 20.06.2026 15:39:21</t>
  </si>
  <si>
    <t>Просрочено</t>
  </si>
  <si>
    <t>Обновлено: 08.07.2026 10:39:56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</si>
</sst>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8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i/>
      <sz val="16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i/>
      <sz val="14"/>
      <color theme="1"/>
      <name val="Times New Roman"/>
      <family val="1"/>
      <charset val="204"/>
    </font>
    <font>
      <b/>
      <i/>
      <sz val="18"/>
      <color theme="1"/>
      <name val="Times New Roman"/>
      <family val="1"/>
      <charset val="204"/>
    </font>
    <font>
      <i/>
      <sz val="18"/>
      <color theme="1"/>
      <name val="Times New Roman"/>
      <family val="1"/>
      <charset val="204"/>
    </font>
    <font>
      <b/>
      <sz val="16"/>
      <color theme="1"/>
      <name val="Noodle-Regular"/>
      <family val="3"/>
      <charset val="204"/>
    </font>
    <font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Tahoma"/>
      <family val="2"/>
      <charset val="204"/>
    </font>
    <font>
      <sz val="11"/>
      <name val="Tahoma"/>
      <family val="2"/>
      <charset val="204"/>
    </font>
    <font>
      <sz val="14"/>
      <color theme="1"/>
      <name val="Tahoma"/>
      <family val="2"/>
      <charset val="204"/>
    </font>
    <font>
      <b/>
      <sz val="16"/>
      <color theme="1"/>
      <name val="Tahoma"/>
      <family val="2"/>
      <charset val="204"/>
    </font>
    <font>
      <b/>
      <sz val="12"/>
      <color theme="1"/>
      <name val="Tahoma"/>
      <family val="2"/>
      <charset val="204"/>
    </font>
    <font>
      <sz val="16"/>
      <color theme="1"/>
      <name val="Tahoma"/>
      <family val="2"/>
      <charset val="204"/>
    </font>
    <font>
      <b/>
      <sz val="14"/>
      <color theme="1"/>
      <name val="Tahoma"/>
      <family val="2"/>
      <charset val="204"/>
    </font>
    <font>
      <sz val="11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22"/>
      <color theme="1"/>
      <name val="Calibri"/>
      <family val="2"/>
      <charset val="204"/>
      <scheme val="minor"/>
    </font>
    <font>
      <b/>
      <sz val="18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b/>
      <sz val="2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11"/>
      <color rgb="FF000000"/>
      <name val="Calibri"/>
      <family val="2"/>
      <scheme val="minor"/>
    </font>
    <font>
      <b/>
      <sz val="16"/>
      <color rgb="FF000000"/>
      <name val="Calibri"/>
      <family val="2"/>
      <charset val="204"/>
      <scheme val="minor"/>
    </font>
    <font>
      <sz val="16"/>
      <color rgb="FF000000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0"/>
      <name val="Arial"/>
      <family val="2"/>
      <charset val="204"/>
    </font>
    <font>
      <sz val="16"/>
      <color theme="1"/>
      <name val="Calibri"/>
      <family val="2"/>
      <scheme val="minor"/>
    </font>
    <font>
      <b/>
      <sz val="36"/>
      <color theme="1"/>
      <name val="Times New Roman"/>
      <family val="1"/>
      <charset val="204"/>
    </font>
    <font>
      <b/>
      <sz val="36"/>
      <color rgb="FF000000"/>
      <name val="Times New Roman"/>
      <family val="1"/>
      <charset val="204"/>
    </font>
    <font>
      <b/>
      <sz val="72"/>
      <color theme="1"/>
      <name val="Times New Roman"/>
      <family val="1"/>
      <charset val="204"/>
    </font>
    <font>
      <b/>
      <sz val="80"/>
      <color theme="1"/>
      <name val="Times New Roman"/>
      <family val="1"/>
      <charset val="204"/>
    </font>
    <font>
      <b/>
      <sz val="7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22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59"/>
      <color theme="1"/>
      <name val="Times New Roman"/>
      <family val="1"/>
      <charset val="204"/>
    </font>
    <font>
      <b/>
      <sz val="12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6"/>
      <color rgb="FF000000"/>
      <name val="Times New Roman"/>
      <family val="1"/>
      <charset val="204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Times New Roman"/>
      <family val="1"/>
      <charset val="204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8"/>
      <color theme="1"/>
      <name val="Calibri"/>
      <family val="2"/>
      <charset val="204"/>
      <scheme val="minor"/>
    </font>
    <font>
      <b/>
      <sz val="11"/>
      <color theme="1"/>
      <name val="Tahoma"/>
      <family val="2"/>
      <charset val="204"/>
    </font>
    <font>
      <b/>
      <sz val="11"/>
      <name val="Tahoma"/>
      <family val="2"/>
      <charset val="204"/>
    </font>
    <font>
      <b/>
      <sz val="50"/>
      <color theme="1"/>
      <name val="Times New Roman"/>
      <family val="1"/>
      <charset val="204"/>
    </font>
    <font>
      <b/>
      <sz val="50"/>
      <color rgb="FF000000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666600"/>
      <name val="Calibri"/>
      <family val="2"/>
      <scheme val="minor"/>
    </font>
    <font>
      <i/>
      <sz val="9"/>
      <color rgb="FF646464"/>
      <name val="Calibri"/>
      <family val="2"/>
      <charset val="204"/>
      <scheme val="minor"/>
    </font>
    <font>
      <b/>
      <sz val="12"/>
      <color rgb="FF000000"/>
      <name val="Calibri"/>
      <family val="2"/>
      <charset val="204"/>
      <scheme val="minor"/>
    </font>
    <font>
      <sz val="18"/>
      <color rgb="FF00000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b/>
      <i/>
      <sz val="9"/>
      <color rgb="FF646464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rgb="FFFFFFF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C9696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3" fillId="0" borderId="0"/>
    <xf numFmtId="0" fontId="47" fillId="0" borderId="0"/>
    <xf numFmtId="0" fontId="54" fillId="0" borderId="0"/>
  </cellStyleXfs>
  <cellXfs count="454">
    <xf numFmtId="0" fontId="0" fillId="0" borderId="0" xfId="0"/>
    <xf numFmtId="0" fontId="12" fillId="0" borderId="1" xfId="0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0" fillId="0" borderId="0" xfId="0" applyBorder="1"/>
    <xf numFmtId="0" fontId="11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15" fillId="0" borderId="0" xfId="0" applyFont="1"/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14" fontId="17" fillId="0" borderId="0" xfId="0" applyNumberFormat="1" applyFont="1" applyAlignment="1">
      <alignment wrapText="1"/>
    </xf>
    <xf numFmtId="0" fontId="17" fillId="0" borderId="0" xfId="0" applyFont="1" applyAlignment="1">
      <alignment horizontal="center" wrapText="1"/>
    </xf>
    <xf numFmtId="14" fontId="0" fillId="2" borderId="1" xfId="0" applyNumberFormat="1" applyFill="1" applyBorder="1" applyAlignment="1">
      <alignment horizontal="center"/>
    </xf>
    <xf numFmtId="20" fontId="0" fillId="2" borderId="1" xfId="0" applyNumberForma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14" fontId="17" fillId="0" borderId="0" xfId="0" applyNumberFormat="1" applyFont="1" applyAlignment="1">
      <alignment horizontal="left" wrapText="1"/>
    </xf>
    <xf numFmtId="0" fontId="17" fillId="0" borderId="0" xfId="0" applyFont="1" applyAlignment="1">
      <alignment horizontal="left" wrapText="1"/>
    </xf>
    <xf numFmtId="4" fontId="20" fillId="3" borderId="0" xfId="0" applyNumberFormat="1" applyFont="1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/>
    </xf>
    <xf numFmtId="0" fontId="21" fillId="0" borderId="0" xfId="0" applyFont="1" applyAlignment="1">
      <alignment horizontal="center" vertical="center" wrapText="1"/>
    </xf>
    <xf numFmtId="14" fontId="0" fillId="2" borderId="5" xfId="0" applyNumberFormat="1" applyFont="1" applyFill="1" applyBorder="1" applyAlignment="1">
      <alignment horizontal="center"/>
    </xf>
    <xf numFmtId="0" fontId="17" fillId="0" borderId="0" xfId="0" applyFont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2" fillId="3" borderId="5" xfId="0" applyNumberFormat="1" applyFont="1" applyFill="1" applyBorder="1" applyAlignment="1">
      <alignment horizontal="center"/>
    </xf>
    <xf numFmtId="14" fontId="22" fillId="2" borderId="5" xfId="0" applyNumberFormat="1" applyFont="1" applyFill="1" applyBorder="1" applyAlignment="1">
      <alignment horizontal="center"/>
    </xf>
    <xf numFmtId="14" fontId="22" fillId="0" borderId="5" xfId="0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4" fontId="22" fillId="2" borderId="0" xfId="0" applyNumberFormat="1" applyFont="1" applyFill="1" applyBorder="1" applyAlignment="1">
      <alignment horizontal="center"/>
    </xf>
    <xf numFmtId="0" fontId="24" fillId="0" borderId="8" xfId="0" applyFont="1" applyBorder="1" applyAlignment="1">
      <alignment horizontal="center" vertical="center"/>
    </xf>
    <xf numFmtId="0" fontId="0" fillId="4" borderId="0" xfId="0" applyFill="1"/>
    <xf numFmtId="14" fontId="0" fillId="2" borderId="1" xfId="0" applyNumberFormat="1" applyFill="1" applyBorder="1" applyAlignment="1" applyProtection="1">
      <alignment horizontal="center"/>
      <protection locked="0"/>
    </xf>
    <xf numFmtId="20" fontId="0" fillId="2" borderId="1" xfId="0" applyNumberFormat="1" applyFill="1" applyBorder="1" applyAlignment="1" applyProtection="1">
      <alignment horizontal="center"/>
      <protection locked="0"/>
    </xf>
    <xf numFmtId="0" fontId="17" fillId="0" borderId="0" xfId="0" applyFont="1" applyAlignment="1" applyProtection="1">
      <alignment horizontal="right" wrapText="1"/>
      <protection locked="0"/>
    </xf>
    <xf numFmtId="14" fontId="17" fillId="0" borderId="0" xfId="0" applyNumberFormat="1" applyFont="1" applyAlignment="1" applyProtection="1">
      <alignment wrapText="1"/>
      <protection locked="0"/>
    </xf>
    <xf numFmtId="0" fontId="17" fillId="0" borderId="0" xfId="0" applyFont="1" applyAlignment="1" applyProtection="1">
      <alignment horizontal="center" wrapText="1"/>
      <protection locked="0"/>
    </xf>
    <xf numFmtId="14" fontId="24" fillId="2" borderId="1" xfId="0" applyNumberFormat="1" applyFont="1" applyFill="1" applyBorder="1" applyAlignment="1" applyProtection="1">
      <alignment horizontal="center"/>
      <protection locked="0"/>
    </xf>
    <xf numFmtId="14" fontId="27" fillId="2" borderId="1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25" fillId="0" borderId="11" xfId="0" applyFont="1" applyBorder="1" applyAlignment="1">
      <alignment horizontal="center"/>
    </xf>
    <xf numFmtId="0" fontId="17" fillId="0" borderId="0" xfId="0" applyFont="1" applyAlignment="1" applyProtection="1">
      <alignment horizontal="center" wrapText="1"/>
      <protection locked="0"/>
    </xf>
    <xf numFmtId="0" fontId="26" fillId="2" borderId="0" xfId="0" applyFont="1" applyFill="1" applyAlignment="1">
      <alignment horizontal="center" vertical="center"/>
    </xf>
    <xf numFmtId="0" fontId="25" fillId="0" borderId="11" xfId="0" applyFont="1" applyBorder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28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/>
    </xf>
    <xf numFmtId="0" fontId="29" fillId="2" borderId="1" xfId="0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28" fillId="0" borderId="0" xfId="0" applyFont="1"/>
    <xf numFmtId="0" fontId="34" fillId="0" borderId="0" xfId="0" applyFont="1"/>
    <xf numFmtId="0" fontId="34" fillId="0" borderId="0" xfId="0" applyFont="1" applyAlignment="1" applyProtection="1">
      <alignment horizontal="right" wrapText="1"/>
      <protection locked="0"/>
    </xf>
    <xf numFmtId="14" fontId="28" fillId="2" borderId="1" xfId="0" applyNumberFormat="1" applyFont="1" applyFill="1" applyBorder="1" applyAlignment="1">
      <alignment horizontal="center"/>
    </xf>
    <xf numFmtId="20" fontId="28" fillId="2" borderId="1" xfId="0" applyNumberFormat="1" applyFont="1" applyFill="1" applyBorder="1" applyAlignment="1">
      <alignment horizontal="center"/>
    </xf>
    <xf numFmtId="20" fontId="28" fillId="0" borderId="1" xfId="0" applyNumberFormat="1" applyFont="1" applyBorder="1" applyAlignment="1">
      <alignment horizontal="center"/>
    </xf>
    <xf numFmtId="0" fontId="30" fillId="0" borderId="0" xfId="0" applyFont="1" applyAlignment="1">
      <alignment horizontal="center" wrapText="1"/>
    </xf>
    <xf numFmtId="0" fontId="30" fillId="0" borderId="0" xfId="0" applyFont="1" applyAlignment="1">
      <alignment horizontal="right" wrapText="1"/>
    </xf>
    <xf numFmtId="0" fontId="28" fillId="0" borderId="1" xfId="0" applyFont="1" applyBorder="1" applyAlignment="1">
      <alignment horizontal="center" vertical="center"/>
    </xf>
    <xf numFmtId="0" fontId="28" fillId="2" borderId="1" xfId="0" applyFont="1" applyFill="1" applyBorder="1" applyAlignment="1">
      <alignment horizontal="center"/>
    </xf>
    <xf numFmtId="0" fontId="28" fillId="0" borderId="1" xfId="0" applyFont="1" applyFill="1" applyBorder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right" wrapText="1"/>
    </xf>
    <xf numFmtId="14" fontId="32" fillId="0" borderId="0" xfId="0" applyNumberFormat="1" applyFont="1" applyAlignment="1">
      <alignment wrapText="1"/>
    </xf>
    <xf numFmtId="14" fontId="35" fillId="2" borderId="1" xfId="0" applyNumberFormat="1" applyFont="1" applyFill="1" applyBorder="1" applyAlignment="1" applyProtection="1">
      <alignment horizontal="center"/>
    </xf>
    <xf numFmtId="14" fontId="35" fillId="2" borderId="1" xfId="0" applyNumberFormat="1" applyFont="1" applyFill="1" applyBorder="1" applyAlignment="1" applyProtection="1">
      <alignment horizontal="center"/>
      <protection locked="0"/>
    </xf>
    <xf numFmtId="14" fontId="36" fillId="0" borderId="0" xfId="0" applyNumberFormat="1" applyFont="1" applyAlignment="1" applyProtection="1">
      <alignment horizontal="center" wrapText="1"/>
    </xf>
    <xf numFmtId="14" fontId="35" fillId="2" borderId="1" xfId="0" applyNumberFormat="1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7" fillId="0" borderId="14" xfId="0" applyFont="1" applyBorder="1" applyAlignment="1">
      <alignment vertical="center"/>
    </xf>
    <xf numFmtId="0" fontId="39" fillId="2" borderId="17" xfId="0" applyFont="1" applyFill="1" applyBorder="1" applyAlignment="1">
      <alignment horizontal="center" vertical="center" shrinkToFit="1"/>
    </xf>
    <xf numFmtId="0" fontId="44" fillId="5" borderId="2" xfId="1" applyFont="1" applyFill="1" applyBorder="1" applyAlignment="1">
      <alignment horizontal="center" vertical="center" shrinkToFit="1" readingOrder="1"/>
    </xf>
    <xf numFmtId="0" fontId="45" fillId="5" borderId="4" xfId="1" applyFont="1" applyFill="1" applyBorder="1" applyAlignment="1">
      <alignment horizontal="center" vertical="center" shrinkToFit="1" readingOrder="1"/>
    </xf>
    <xf numFmtId="0" fontId="45" fillId="5" borderId="1" xfId="1" applyFont="1" applyFill="1" applyBorder="1" applyAlignment="1">
      <alignment horizontal="center" vertical="center" shrinkToFit="1" readingOrder="1"/>
    </xf>
    <xf numFmtId="0" fontId="0" fillId="0" borderId="0" xfId="0" applyAlignment="1">
      <alignment shrinkToFit="1"/>
    </xf>
    <xf numFmtId="0" fontId="46" fillId="0" borderId="1" xfId="0" applyFont="1" applyBorder="1" applyAlignment="1">
      <alignment horizontal="center" vertical="center" readingOrder="1"/>
    </xf>
    <xf numFmtId="0" fontId="0" fillId="0" borderId="2" xfId="0" applyBorder="1"/>
    <xf numFmtId="14" fontId="49" fillId="2" borderId="12" xfId="0" applyNumberFormat="1" applyFont="1" applyFill="1" applyBorder="1" applyAlignment="1">
      <alignment horizontal="center" vertical="center" shrinkToFit="1"/>
    </xf>
    <xf numFmtId="14" fontId="49" fillId="2" borderId="9" xfId="0" applyNumberFormat="1" applyFont="1" applyFill="1" applyBorder="1" applyAlignment="1">
      <alignment horizontal="left" vertical="center" shrinkToFit="1"/>
    </xf>
    <xf numFmtId="0" fontId="49" fillId="0" borderId="9" xfId="0" applyFont="1" applyBorder="1" applyAlignment="1">
      <alignment horizontal="center" vertical="center" wrapText="1"/>
    </xf>
    <xf numFmtId="14" fontId="49" fillId="2" borderId="23" xfId="0" applyNumberFormat="1" applyFont="1" applyFill="1" applyBorder="1" applyAlignment="1">
      <alignment horizontal="left" vertical="center" shrinkToFit="1"/>
    </xf>
    <xf numFmtId="0" fontId="49" fillId="0" borderId="10" xfId="0" applyFont="1" applyBorder="1" applyAlignment="1">
      <alignment horizontal="left" vertical="center" readingOrder="1"/>
    </xf>
    <xf numFmtId="0" fontId="50" fillId="0" borderId="25" xfId="1" applyFont="1" applyBorder="1" applyAlignment="1">
      <alignment horizontal="left" vertical="center" shrinkToFit="1" readingOrder="1"/>
    </xf>
    <xf numFmtId="0" fontId="50" fillId="0" borderId="10" xfId="1" applyFont="1" applyBorder="1" applyAlignment="1">
      <alignment horizontal="left" vertical="center" shrinkToFit="1" readingOrder="1"/>
    </xf>
    <xf numFmtId="0" fontId="49" fillId="0" borderId="10" xfId="0" applyFont="1" applyBorder="1" applyAlignment="1">
      <alignment horizontal="left" vertical="center"/>
    </xf>
    <xf numFmtId="0" fontId="46" fillId="0" borderId="1" xfId="0" applyFont="1" applyBorder="1" applyAlignment="1">
      <alignment horizontal="center" vertical="center" shrinkToFit="1" readingOrder="1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10" fillId="0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Border="1" applyAlignment="1">
      <alignment horizontal="center"/>
    </xf>
    <xf numFmtId="20" fontId="41" fillId="2" borderId="0" xfId="0" applyNumberFormat="1" applyFont="1" applyFill="1" applyAlignment="1">
      <alignment horizontal="center" vertical="center" wrapText="1" shrinkToFit="1"/>
    </xf>
    <xf numFmtId="0" fontId="41" fillId="2" borderId="0" xfId="0" applyFont="1" applyFill="1" applyAlignment="1">
      <alignment vertical="center" wrapText="1" shrinkToFit="1"/>
    </xf>
    <xf numFmtId="0" fontId="41" fillId="0" borderId="0" xfId="0" applyFont="1" applyAlignment="1">
      <alignment horizontal="center" vertical="center" wrapText="1" shrinkToFit="1"/>
    </xf>
    <xf numFmtId="0" fontId="41" fillId="0" borderId="0" xfId="0" applyFont="1" applyAlignment="1">
      <alignment horizontal="center" vertical="center" wrapText="1"/>
    </xf>
    <xf numFmtId="0" fontId="45" fillId="5" borderId="30" xfId="1" applyFont="1" applyFill="1" applyBorder="1" applyAlignment="1">
      <alignment horizontal="center" vertical="center" shrinkToFit="1" readingOrder="1"/>
    </xf>
    <xf numFmtId="0" fontId="45" fillId="5" borderId="31" xfId="1" applyFont="1" applyFill="1" applyBorder="1" applyAlignment="1">
      <alignment horizontal="center" vertical="center" shrinkToFit="1" readingOrder="1"/>
    </xf>
    <xf numFmtId="20" fontId="45" fillId="5" borderId="31" xfId="1" applyNumberFormat="1" applyFont="1" applyFill="1" applyBorder="1" applyAlignment="1">
      <alignment horizontal="center" vertical="center" shrinkToFit="1" readingOrder="1"/>
    </xf>
    <xf numFmtId="0" fontId="46" fillId="0" borderId="31" xfId="0" applyFont="1" applyBorder="1" applyAlignment="1">
      <alignment horizontal="center" vertical="center" readingOrder="1"/>
    </xf>
    <xf numFmtId="0" fontId="46" fillId="0" borderId="32" xfId="0" applyFont="1" applyBorder="1" applyAlignment="1">
      <alignment horizontal="center" vertical="center" readingOrder="1"/>
    </xf>
    <xf numFmtId="0" fontId="45" fillId="5" borderId="33" xfId="1" applyFont="1" applyFill="1" applyBorder="1" applyAlignment="1">
      <alignment horizontal="center" vertical="center" shrinkToFit="1" readingOrder="1"/>
    </xf>
    <xf numFmtId="20" fontId="45" fillId="5" borderId="1" xfId="1" applyNumberFormat="1" applyFont="1" applyFill="1" applyBorder="1" applyAlignment="1">
      <alignment horizontal="center" vertical="center" shrinkToFit="1" readingOrder="1"/>
    </xf>
    <xf numFmtId="0" fontId="46" fillId="0" borderId="34" xfId="0" applyFont="1" applyBorder="1" applyAlignment="1">
      <alignment horizontal="center" vertical="center" readingOrder="1"/>
    </xf>
    <xf numFmtId="0" fontId="46" fillId="0" borderId="34" xfId="0" applyFont="1" applyBorder="1" applyAlignment="1">
      <alignment horizontal="center" vertical="center" shrinkToFit="1" readingOrder="1"/>
    </xf>
    <xf numFmtId="20" fontId="41" fillId="2" borderId="6" xfId="0" applyNumberFormat="1" applyFont="1" applyFill="1" applyBorder="1" applyAlignment="1">
      <alignment horizontal="center" vertical="center" wrapText="1" shrinkToFit="1"/>
    </xf>
    <xf numFmtId="0" fontId="41" fillId="2" borderId="6" xfId="0" applyFont="1" applyFill="1" applyBorder="1" applyAlignment="1">
      <alignment vertical="center" wrapText="1" shrinkToFit="1"/>
    </xf>
    <xf numFmtId="0" fontId="41" fillId="0" borderId="6" xfId="0" applyFont="1" applyBorder="1" applyAlignment="1">
      <alignment horizontal="center" vertical="center" wrapText="1" shrinkToFit="1"/>
    </xf>
    <xf numFmtId="20" fontId="41" fillId="0" borderId="6" xfId="0" applyNumberFormat="1" applyFont="1" applyBorder="1" applyAlignment="1">
      <alignment horizontal="center" vertical="center" wrapText="1" shrinkToFit="1"/>
    </xf>
    <xf numFmtId="0" fontId="41" fillId="0" borderId="6" xfId="0" applyFont="1" applyBorder="1" applyAlignment="1">
      <alignment horizontal="center" vertical="center" wrapText="1"/>
    </xf>
    <xf numFmtId="0" fontId="54" fillId="0" borderId="0" xfId="3"/>
    <xf numFmtId="49" fontId="56" fillId="0" borderId="33" xfId="3" applyNumberFormat="1" applyFont="1" applyBorder="1" applyAlignment="1">
      <alignment horizontal="center" vertical="center"/>
    </xf>
    <xf numFmtId="49" fontId="57" fillId="0" borderId="1" xfId="3" applyNumberFormat="1" applyFont="1" applyBorder="1" applyAlignment="1">
      <alignment horizontal="center" vertical="center"/>
    </xf>
    <xf numFmtId="20" fontId="57" fillId="0" borderId="1" xfId="3" applyNumberFormat="1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/>
    </xf>
    <xf numFmtId="0" fontId="57" fillId="0" borderId="34" xfId="3" applyFont="1" applyBorder="1" applyAlignment="1">
      <alignment horizontal="center" vertical="center"/>
    </xf>
    <xf numFmtId="20" fontId="57" fillId="0" borderId="33" xfId="3" applyNumberFormat="1" applyFont="1" applyBorder="1" applyAlignment="1">
      <alignment horizontal="center" vertical="center"/>
    </xf>
    <xf numFmtId="0" fontId="58" fillId="0" borderId="4" xfId="3" applyFont="1" applyBorder="1" applyAlignment="1">
      <alignment horizontal="center"/>
    </xf>
    <xf numFmtId="0" fontId="59" fillId="0" borderId="1" xfId="3" applyFont="1" applyBorder="1" applyAlignment="1">
      <alignment horizontal="center"/>
    </xf>
    <xf numFmtId="0" fontId="58" fillId="0" borderId="1" xfId="3" applyFont="1" applyBorder="1" applyAlignment="1">
      <alignment horizontal="center"/>
    </xf>
    <xf numFmtId="0" fontId="58" fillId="0" borderId="34" xfId="3" applyFont="1" applyBorder="1" applyAlignment="1">
      <alignment horizontal="center"/>
    </xf>
    <xf numFmtId="0" fontId="60" fillId="0" borderId="4" xfId="3" applyFont="1" applyBorder="1"/>
    <xf numFmtId="0" fontId="60" fillId="0" borderId="34" xfId="3" applyFont="1" applyBorder="1"/>
    <xf numFmtId="0" fontId="58" fillId="0" borderId="34" xfId="3" applyFont="1" applyBorder="1"/>
    <xf numFmtId="20" fontId="57" fillId="0" borderId="36" xfId="3" applyNumberFormat="1" applyFont="1" applyBorder="1" applyAlignment="1">
      <alignment horizontal="center" vertical="center"/>
    </xf>
    <xf numFmtId="0" fontId="58" fillId="0" borderId="37" xfId="3" applyFont="1" applyBorder="1" applyAlignment="1">
      <alignment horizontal="center"/>
    </xf>
    <xf numFmtId="0" fontId="59" fillId="0" borderId="38" xfId="3" applyFont="1" applyBorder="1" applyAlignment="1">
      <alignment horizontal="center"/>
    </xf>
    <xf numFmtId="0" fontId="58" fillId="0" borderId="38" xfId="3" applyFont="1" applyBorder="1" applyAlignment="1">
      <alignment horizontal="center"/>
    </xf>
    <xf numFmtId="0" fontId="58" fillId="0" borderId="39" xfId="3" applyFont="1" applyBorder="1"/>
    <xf numFmtId="20" fontId="57" fillId="0" borderId="40" xfId="3" applyNumberFormat="1" applyFont="1" applyBorder="1" applyAlignment="1">
      <alignment horizontal="center" vertical="center"/>
    </xf>
    <xf numFmtId="0" fontId="58" fillId="0" borderId="41" xfId="3" applyFont="1" applyBorder="1" applyAlignment="1">
      <alignment horizontal="center"/>
    </xf>
    <xf numFmtId="0" fontId="59" fillId="0" borderId="42" xfId="3" applyFont="1" applyBorder="1" applyAlignment="1">
      <alignment horizontal="center"/>
    </xf>
    <xf numFmtId="0" fontId="58" fillId="0" borderId="42" xfId="3" applyFont="1" applyBorder="1" applyAlignment="1">
      <alignment horizontal="center"/>
    </xf>
    <xf numFmtId="0" fontId="58" fillId="0" borderId="43" xfId="3" applyFont="1" applyBorder="1"/>
    <xf numFmtId="0" fontId="58" fillId="0" borderId="0" xfId="3" applyFont="1"/>
    <xf numFmtId="0" fontId="61" fillId="0" borderId="5" xfId="3" applyFont="1" applyBorder="1" applyAlignment="1">
      <alignment vertical="center"/>
    </xf>
    <xf numFmtId="0" fontId="54" fillId="0" borderId="15" xfId="3" applyBorder="1"/>
    <xf numFmtId="0" fontId="54" fillId="0" borderId="16" xfId="3" applyBorder="1"/>
    <xf numFmtId="0" fontId="61" fillId="0" borderId="6" xfId="3" applyFont="1" applyBorder="1" applyAlignment="1">
      <alignment vertical="center"/>
    </xf>
    <xf numFmtId="0" fontId="54" fillId="0" borderId="14" xfId="3" applyBorder="1"/>
    <xf numFmtId="0" fontId="54" fillId="0" borderId="27" xfId="3" applyBorder="1"/>
    <xf numFmtId="49" fontId="55" fillId="0" borderId="1" xfId="3" applyNumberFormat="1" applyFont="1" applyBorder="1" applyAlignment="1">
      <alignment horizontal="right" vertical="center"/>
    </xf>
    <xf numFmtId="0" fontId="62" fillId="0" borderId="7" xfId="0" applyFont="1" applyBorder="1" applyAlignment="1">
      <alignment vertical="center" wrapText="1" readingOrder="1"/>
    </xf>
    <xf numFmtId="14" fontId="54" fillId="0" borderId="0" xfId="3" applyNumberFormat="1"/>
    <xf numFmtId="14" fontId="10" fillId="0" borderId="1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Alignment="1"/>
    <xf numFmtId="14" fontId="27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0" borderId="31" xfId="0" applyFont="1" applyBorder="1" applyAlignment="1">
      <alignment horizontal="center"/>
    </xf>
    <xf numFmtId="14" fontId="10" fillId="0" borderId="31" xfId="0" applyNumberFormat="1" applyFont="1" applyFill="1" applyBorder="1" applyAlignment="1" applyProtection="1">
      <alignment horizontal="center"/>
      <protection locked="0"/>
    </xf>
    <xf numFmtId="14" fontId="27" fillId="0" borderId="31" xfId="0" applyNumberFormat="1" applyFont="1" applyFill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65" fillId="0" borderId="21" xfId="0" applyFont="1" applyBorder="1" applyAlignment="1">
      <alignment horizontal="center"/>
    </xf>
    <xf numFmtId="0" fontId="63" fillId="0" borderId="22" xfId="0" applyFont="1" applyBorder="1" applyAlignment="1">
      <alignment horizontal="center"/>
    </xf>
    <xf numFmtId="14" fontId="64" fillId="0" borderId="5" xfId="0" applyNumberFormat="1" applyFont="1" applyBorder="1" applyAlignment="1">
      <alignment horizontal="center" vertical="center" wrapText="1"/>
    </xf>
    <xf numFmtId="0" fontId="41" fillId="2" borderId="19" xfId="0" applyFont="1" applyFill="1" applyBorder="1" applyAlignment="1">
      <alignment horizontal="center" vertical="center" wrapText="1" shrinkToFit="1"/>
    </xf>
    <xf numFmtId="20" fontId="41" fillId="2" borderId="5" xfId="0" applyNumberFormat="1" applyFont="1" applyFill="1" applyBorder="1" applyAlignment="1">
      <alignment horizontal="center" vertical="center" wrapText="1" shrinkToFit="1"/>
    </xf>
    <xf numFmtId="0" fontId="66" fillId="5" borderId="9" xfId="1" applyFont="1" applyFill="1" applyBorder="1" applyAlignment="1">
      <alignment horizontal="center" vertical="center" shrinkToFit="1" readingOrder="1"/>
    </xf>
    <xf numFmtId="49" fontId="45" fillId="5" borderId="45" xfId="1" applyNumberFormat="1" applyFont="1" applyFill="1" applyBorder="1" applyAlignment="1">
      <alignment horizontal="center" vertical="center" shrinkToFit="1" readingOrder="1"/>
    </xf>
    <xf numFmtId="49" fontId="45" fillId="5" borderId="46" xfId="1" applyNumberFormat="1" applyFont="1" applyFill="1" applyBorder="1" applyAlignment="1">
      <alignment horizontal="center" vertical="center" shrinkToFit="1" readingOrder="1"/>
    </xf>
    <xf numFmtId="49" fontId="46" fillId="0" borderId="46" xfId="0" applyNumberFormat="1" applyFont="1" applyBorder="1" applyAlignment="1">
      <alignment horizontal="center" vertical="center" shrinkToFit="1" readingOrder="1"/>
    </xf>
    <xf numFmtId="49" fontId="46" fillId="0" borderId="47" xfId="0" applyNumberFormat="1" applyFont="1" applyBorder="1" applyAlignment="1">
      <alignment horizontal="center" vertical="center" shrinkToFit="1" readingOrder="1"/>
    </xf>
    <xf numFmtId="0" fontId="66" fillId="5" borderId="10" xfId="1" applyFont="1" applyFill="1" applyBorder="1" applyAlignment="1">
      <alignment horizontal="center" vertical="center" shrinkToFit="1" readingOrder="1"/>
    </xf>
    <xf numFmtId="49" fontId="45" fillId="5" borderId="4" xfId="1" applyNumberFormat="1" applyFont="1" applyFill="1" applyBorder="1" applyAlignment="1">
      <alignment horizontal="center" vertical="center" shrinkToFit="1" readingOrder="1"/>
    </xf>
    <xf numFmtId="49" fontId="45" fillId="5" borderId="1" xfId="1" applyNumberFormat="1" applyFont="1" applyFill="1" applyBorder="1" applyAlignment="1">
      <alignment horizontal="center" vertical="center" shrinkToFit="1" readingOrder="1"/>
    </xf>
    <xf numFmtId="49" fontId="46" fillId="0" borderId="1" xfId="0" applyNumberFormat="1" applyFont="1" applyBorder="1" applyAlignment="1">
      <alignment horizontal="center" vertical="center" shrinkToFit="1" readingOrder="1"/>
    </xf>
    <xf numFmtId="49" fontId="46" fillId="0" borderId="34" xfId="0" applyNumberFormat="1" applyFont="1" applyBorder="1" applyAlignment="1">
      <alignment horizontal="center" vertical="center" shrinkToFit="1" readingOrder="1"/>
    </xf>
    <xf numFmtId="0" fontId="41" fillId="0" borderId="10" xfId="0" applyFont="1" applyBorder="1" applyAlignment="1">
      <alignment horizontal="center" vertical="center" readingOrder="1"/>
    </xf>
    <xf numFmtId="49" fontId="46" fillId="0" borderId="34" xfId="0" applyNumberFormat="1" applyFont="1" applyBorder="1" applyAlignment="1">
      <alignment horizontal="center" vertical="center" readingOrder="1"/>
    </xf>
    <xf numFmtId="49" fontId="46" fillId="0" borderId="1" xfId="0" applyNumberFormat="1" applyFont="1" applyBorder="1" applyAlignment="1">
      <alignment horizontal="center" vertical="center" readingOrder="1"/>
    </xf>
    <xf numFmtId="0" fontId="66" fillId="5" borderId="48" xfId="1" applyFont="1" applyFill="1" applyBorder="1" applyAlignment="1">
      <alignment horizontal="center" vertical="center" shrinkToFit="1" readingOrder="1"/>
    </xf>
    <xf numFmtId="49" fontId="45" fillId="5" borderId="41" xfId="1" applyNumberFormat="1" applyFont="1" applyFill="1" applyBorder="1" applyAlignment="1">
      <alignment horizontal="center" vertical="center" shrinkToFit="1" readingOrder="1"/>
    </xf>
    <xf numFmtId="49" fontId="45" fillId="5" borderId="42" xfId="1" applyNumberFormat="1" applyFont="1" applyFill="1" applyBorder="1" applyAlignment="1">
      <alignment horizontal="center" vertical="center" shrinkToFit="1" readingOrder="1"/>
    </xf>
    <xf numFmtId="49" fontId="46" fillId="0" borderId="42" xfId="0" applyNumberFormat="1" applyFont="1" applyBorder="1" applyAlignment="1">
      <alignment horizontal="center" vertical="center" shrinkToFit="1" readingOrder="1"/>
    </xf>
    <xf numFmtId="49" fontId="46" fillId="0" borderId="43" xfId="0" applyNumberFormat="1" applyFont="1" applyBorder="1" applyAlignment="1">
      <alignment horizontal="center" vertical="center" shrinkToFit="1" readingOrder="1"/>
    </xf>
    <xf numFmtId="14" fontId="41" fillId="2" borderId="5" xfId="0" applyNumberFormat="1" applyFont="1" applyFill="1" applyBorder="1" applyAlignment="1">
      <alignment horizontal="center" vertical="center" shrinkToFit="1"/>
    </xf>
    <xf numFmtId="0" fontId="41" fillId="2" borderId="5" xfId="0" applyFont="1" applyFill="1" applyBorder="1" applyAlignment="1">
      <alignment horizontal="center" vertical="center" wrapText="1" shrinkToFit="1"/>
    </xf>
    <xf numFmtId="0" fontId="41" fillId="2" borderId="8" xfId="0" applyFont="1" applyFill="1" applyBorder="1" applyAlignment="1">
      <alignment horizontal="center" vertical="center" wrapText="1" shrinkToFit="1"/>
    </xf>
    <xf numFmtId="0" fontId="41" fillId="0" borderId="19" xfId="0" applyFont="1" applyBorder="1" applyAlignment="1">
      <alignment horizontal="center" vertical="center" wrapText="1" shrinkToFit="1"/>
    </xf>
    <xf numFmtId="0" fontId="41" fillId="0" borderId="8" xfId="0" applyFont="1" applyBorder="1" applyAlignment="1">
      <alignment horizontal="center" vertical="center" wrapText="1" shrinkToFit="1"/>
    </xf>
    <xf numFmtId="0" fontId="68" fillId="2" borderId="11" xfId="0" applyFont="1" applyFill="1" applyBorder="1" applyAlignment="1">
      <alignment horizontal="center" vertical="center" shrinkToFit="1"/>
    </xf>
    <xf numFmtId="0" fontId="41" fillId="2" borderId="8" xfId="0" applyFont="1" applyFill="1" applyBorder="1" applyAlignment="1">
      <alignment horizontal="center" vertical="center" shrinkToFit="1"/>
    </xf>
    <xf numFmtId="0" fontId="41" fillId="0" borderId="24" xfId="0" applyFont="1" applyBorder="1" applyAlignment="1">
      <alignment horizontal="center" vertical="center" wrapText="1" shrinkToFit="1"/>
    </xf>
    <xf numFmtId="0" fontId="69" fillId="0" borderId="18" xfId="0" applyFont="1" applyBorder="1" applyAlignment="1">
      <alignment horizontal="center" vertical="center" wrapText="1" shrinkToFit="1"/>
    </xf>
    <xf numFmtId="0" fontId="70" fillId="0" borderId="0" xfId="0" applyFont="1"/>
    <xf numFmtId="0" fontId="45" fillId="5" borderId="50" xfId="1" applyFont="1" applyFill="1" applyBorder="1" applyAlignment="1">
      <alignment horizontal="center" vertical="center" shrinkToFit="1"/>
    </xf>
    <xf numFmtId="0" fontId="45" fillId="5" borderId="9" xfId="1" applyFont="1" applyFill="1" applyBorder="1" applyAlignment="1">
      <alignment horizontal="center" vertical="center" shrinkToFit="1"/>
    </xf>
    <xf numFmtId="20" fontId="45" fillId="5" borderId="45" xfId="1" applyNumberFormat="1" applyFont="1" applyFill="1" applyBorder="1" applyAlignment="1">
      <alignment horizontal="center" vertical="center" shrinkToFit="1"/>
    </xf>
    <xf numFmtId="20" fontId="45" fillId="5" borderId="51" xfId="1" applyNumberFormat="1" applyFont="1" applyFill="1" applyBorder="1" applyAlignment="1">
      <alignment horizontal="center" vertical="center" shrinkToFit="1"/>
    </xf>
    <xf numFmtId="20" fontId="0" fillId="0" borderId="0" xfId="0" applyNumberFormat="1" applyAlignment="1">
      <alignment shrinkToFit="1"/>
    </xf>
    <xf numFmtId="0" fontId="45" fillId="5" borderId="3" xfId="1" applyFont="1" applyFill="1" applyBorder="1" applyAlignment="1">
      <alignment horizontal="center" vertical="center" shrinkToFit="1"/>
    </xf>
    <xf numFmtId="0" fontId="45" fillId="5" borderId="10" xfId="1" applyFont="1" applyFill="1" applyBorder="1" applyAlignment="1">
      <alignment horizontal="center" vertical="center" shrinkToFit="1"/>
    </xf>
    <xf numFmtId="20" fontId="45" fillId="5" borderId="4" xfId="1" applyNumberFormat="1" applyFont="1" applyFill="1" applyBorder="1" applyAlignment="1">
      <alignment horizontal="center" vertical="center" shrinkToFit="1"/>
    </xf>
    <xf numFmtId="20" fontId="45" fillId="5" borderId="2" xfId="1" applyNumberFormat="1" applyFont="1" applyFill="1" applyBorder="1" applyAlignment="1">
      <alignment horizontal="center" vertical="center" shrinkToFit="1"/>
    </xf>
    <xf numFmtId="0" fontId="45" fillId="5" borderId="29" xfId="1" applyFont="1" applyFill="1" applyBorder="1" applyAlignment="1">
      <alignment horizontal="center" vertical="center" shrinkToFit="1"/>
    </xf>
    <xf numFmtId="0" fontId="21" fillId="0" borderId="0" xfId="0" applyFont="1" applyAlignment="1">
      <alignment shrinkToFit="1"/>
    </xf>
    <xf numFmtId="0" fontId="45" fillId="5" borderId="54" xfId="1" applyFont="1" applyFill="1" applyBorder="1" applyAlignment="1">
      <alignment horizontal="center" vertical="center" shrinkToFit="1"/>
    </xf>
    <xf numFmtId="0" fontId="45" fillId="5" borderId="48" xfId="1" applyFont="1" applyFill="1" applyBorder="1" applyAlignment="1">
      <alignment horizontal="center" vertical="center" shrinkToFit="1"/>
    </xf>
    <xf numFmtId="20" fontId="45" fillId="5" borderId="41" xfId="1" applyNumberFormat="1" applyFont="1" applyFill="1" applyBorder="1" applyAlignment="1">
      <alignment horizontal="center" vertical="center" shrinkToFit="1"/>
    </xf>
    <xf numFmtId="20" fontId="45" fillId="5" borderId="55" xfId="1" applyNumberFormat="1" applyFont="1" applyFill="1" applyBorder="1" applyAlignment="1">
      <alignment horizontal="center" vertical="center" shrinkToFit="1"/>
    </xf>
    <xf numFmtId="0" fontId="45" fillId="5" borderId="56" xfId="1" applyFont="1" applyFill="1" applyBorder="1" applyAlignment="1">
      <alignment horizontal="center" vertical="center" shrinkToFit="1"/>
    </xf>
    <xf numFmtId="0" fontId="45" fillId="5" borderId="52" xfId="1" applyFont="1" applyFill="1" applyBorder="1" applyAlignment="1">
      <alignment horizontal="center" vertical="center" shrinkToFit="1"/>
    </xf>
    <xf numFmtId="0" fontId="45" fillId="5" borderId="44" xfId="1" applyFont="1" applyFill="1" applyBorder="1" applyAlignment="1">
      <alignment horizontal="center" vertical="center" shrinkToFit="1"/>
    </xf>
    <xf numFmtId="0" fontId="45" fillId="5" borderId="25" xfId="1" applyFont="1" applyFill="1" applyBorder="1" applyAlignment="1">
      <alignment horizontal="center" vertical="center" shrinkToFit="1"/>
    </xf>
    <xf numFmtId="20" fontId="45" fillId="5" borderId="57" xfId="1" applyNumberFormat="1" applyFont="1" applyFill="1" applyBorder="1" applyAlignment="1">
      <alignment horizontal="center" vertical="center" shrinkToFit="1"/>
    </xf>
    <xf numFmtId="20" fontId="45" fillId="5" borderId="58" xfId="1" applyNumberFormat="1" applyFont="1" applyFill="1" applyBorder="1" applyAlignment="1">
      <alignment horizontal="center" vertical="center" shrinkToFit="1"/>
    </xf>
    <xf numFmtId="0" fontId="45" fillId="5" borderId="59" xfId="1" applyFont="1" applyFill="1" applyBorder="1" applyAlignment="1">
      <alignment horizontal="center" vertical="center" shrinkToFit="1"/>
    </xf>
    <xf numFmtId="0" fontId="45" fillId="6" borderId="9" xfId="1" applyFont="1" applyFill="1" applyBorder="1" applyAlignment="1">
      <alignment horizontal="center" vertical="center" shrinkToFit="1"/>
    </xf>
    <xf numFmtId="0" fontId="45" fillId="6" borderId="10" xfId="1" applyFont="1" applyFill="1" applyBorder="1" applyAlignment="1">
      <alignment horizontal="center" vertical="center" shrinkToFit="1"/>
    </xf>
    <xf numFmtId="0" fontId="45" fillId="6" borderId="48" xfId="1" applyFont="1" applyFill="1" applyBorder="1" applyAlignment="1">
      <alignment horizontal="center" vertical="center" shrinkToFit="1"/>
    </xf>
    <xf numFmtId="0" fontId="41" fillId="0" borderId="12" xfId="0" applyFont="1" applyBorder="1" applyAlignment="1">
      <alignment horizontal="center" vertical="center" wrapText="1" readingOrder="1"/>
    </xf>
    <xf numFmtId="0" fontId="41" fillId="0" borderId="5" xfId="0" applyFont="1" applyBorder="1" applyAlignment="1">
      <alignment horizontal="center" vertical="center" wrapText="1" readingOrder="1"/>
    </xf>
    <xf numFmtId="0" fontId="45" fillId="5" borderId="15" xfId="1" applyFont="1" applyFill="1" applyBorder="1" applyAlignment="1">
      <alignment horizontal="center" vertical="center" shrinkToFit="1"/>
    </xf>
    <xf numFmtId="0" fontId="45" fillId="5" borderId="5" xfId="1" applyFont="1" applyFill="1" applyBorder="1" applyAlignment="1">
      <alignment horizontal="center" vertical="center" shrinkToFit="1"/>
    </xf>
    <xf numFmtId="0" fontId="45" fillId="5" borderId="16" xfId="1" applyFont="1" applyFill="1" applyBorder="1" applyAlignment="1">
      <alignment horizontal="center" vertical="center" shrinkToFit="1"/>
    </xf>
    <xf numFmtId="0" fontId="41" fillId="0" borderId="49" xfId="0" applyFont="1" applyBorder="1" applyAlignment="1">
      <alignment horizontal="center" vertical="center" wrapText="1" readingOrder="1"/>
    </xf>
    <xf numFmtId="0" fontId="41" fillId="0" borderId="8" xfId="0" applyFont="1" applyBorder="1" applyAlignment="1">
      <alignment vertical="center" wrapText="1" readingOrder="1"/>
    </xf>
    <xf numFmtId="0" fontId="45" fillId="5" borderId="19" xfId="1" applyFont="1" applyFill="1" applyBorder="1" applyAlignment="1">
      <alignment horizontal="center" vertical="center" shrinkToFit="1"/>
    </xf>
    <xf numFmtId="0" fontId="45" fillId="5" borderId="8" xfId="1" applyFont="1" applyFill="1" applyBorder="1" applyAlignment="1">
      <alignment horizontal="center" vertical="center" shrinkToFit="1"/>
    </xf>
    <xf numFmtId="0" fontId="45" fillId="5" borderId="24" xfId="1" applyFont="1" applyFill="1" applyBorder="1" applyAlignment="1">
      <alignment horizontal="center" vertical="center" shrinkToFit="1"/>
    </xf>
    <xf numFmtId="0" fontId="41" fillId="0" borderId="18" xfId="0" applyFont="1" applyBorder="1" applyAlignment="1">
      <alignment horizontal="center" vertical="center" wrapText="1" readingOrder="1"/>
    </xf>
    <xf numFmtId="0" fontId="41" fillId="0" borderId="26" xfId="0" applyFont="1" applyBorder="1" applyAlignment="1">
      <alignment horizontal="center" vertical="center" wrapText="1" readingOrder="1"/>
    </xf>
    <xf numFmtId="0" fontId="41" fillId="0" borderId="5" xfId="0" applyFont="1" applyBorder="1" applyAlignment="1">
      <alignment vertical="center" wrapText="1" readingOrder="1"/>
    </xf>
    <xf numFmtId="0" fontId="41" fillId="0" borderId="13" xfId="0" applyFont="1" applyBorder="1" applyAlignment="1">
      <alignment horizontal="center" vertical="center" wrapText="1" readingOrder="1"/>
    </xf>
    <xf numFmtId="20" fontId="45" fillId="5" borderId="9" xfId="1" applyNumberFormat="1" applyFont="1" applyFill="1" applyBorder="1" applyAlignment="1">
      <alignment horizontal="center" vertical="center" shrinkToFit="1"/>
    </xf>
    <xf numFmtId="20" fontId="45" fillId="5" borderId="10" xfId="1" applyNumberFormat="1" applyFont="1" applyFill="1" applyBorder="1" applyAlignment="1">
      <alignment horizontal="center" vertical="center" shrinkToFit="1"/>
    </xf>
    <xf numFmtId="20" fontId="45" fillId="5" borderId="48" xfId="1" applyNumberFormat="1" applyFont="1" applyFill="1" applyBorder="1" applyAlignment="1">
      <alignment horizontal="center" vertical="center" shrinkToFit="1"/>
    </xf>
    <xf numFmtId="20" fontId="45" fillId="5" borderId="5" xfId="1" applyNumberFormat="1" applyFont="1" applyFill="1" applyBorder="1" applyAlignment="1">
      <alignment horizontal="center" vertical="center" shrinkToFit="1"/>
    </xf>
    <xf numFmtId="0" fontId="45" fillId="0" borderId="52" xfId="1" applyFont="1" applyFill="1" applyBorder="1" applyAlignment="1">
      <alignment horizontal="center" vertical="center" shrinkToFit="1"/>
    </xf>
    <xf numFmtId="14" fontId="38" fillId="0" borderId="12" xfId="0" applyNumberFormat="1" applyFont="1" applyBorder="1" applyAlignment="1">
      <alignment horizontal="right" vertical="center" wrapText="1"/>
    </xf>
    <xf numFmtId="0" fontId="12" fillId="0" borderId="1" xfId="0" applyFont="1" applyBorder="1" applyAlignment="1" applyProtection="1">
      <alignment horizontal="center"/>
    </xf>
    <xf numFmtId="14" fontId="0" fillId="2" borderId="1" xfId="0" applyNumberFormat="1" applyFill="1" applyBorder="1" applyAlignment="1" applyProtection="1">
      <alignment horizontal="center"/>
    </xf>
    <xf numFmtId="20" fontId="0" fillId="2" borderId="1" xfId="0" applyNumberFormat="1" applyFill="1" applyBorder="1" applyAlignment="1" applyProtection="1">
      <alignment horizontal="center"/>
    </xf>
    <xf numFmtId="0" fontId="12" fillId="0" borderId="1" xfId="0" applyFont="1" applyFill="1" applyBorder="1" applyAlignment="1" applyProtection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38" fillId="0" borderId="16" xfId="0" applyFont="1" applyBorder="1" applyAlignment="1">
      <alignment vertical="center"/>
    </xf>
    <xf numFmtId="20" fontId="41" fillId="2" borderId="20" xfId="0" applyNumberFormat="1" applyFont="1" applyFill="1" applyBorder="1" applyAlignment="1">
      <alignment horizontal="center" vertical="center" wrapText="1" shrinkToFit="1"/>
    </xf>
    <xf numFmtId="20" fontId="41" fillId="2" borderId="21" xfId="0" applyNumberFormat="1" applyFont="1" applyFill="1" applyBorder="1" applyAlignment="1">
      <alignment horizontal="center" vertical="center" wrapText="1" shrinkToFit="1"/>
    </xf>
    <xf numFmtId="0" fontId="41" fillId="2" borderId="21" xfId="0" applyFont="1" applyFill="1" applyBorder="1" applyAlignment="1">
      <alignment horizontal="center" vertical="center" wrapText="1" shrinkToFit="1"/>
    </xf>
    <xf numFmtId="0" fontId="41" fillId="2" borderId="22" xfId="0" applyFont="1" applyFill="1" applyBorder="1" applyAlignment="1">
      <alignment horizontal="center" vertical="center" wrapText="1" shrinkToFit="1"/>
    </xf>
    <xf numFmtId="14" fontId="42" fillId="2" borderId="12" xfId="0" applyNumberFormat="1" applyFont="1" applyFill="1" applyBorder="1" applyAlignment="1">
      <alignment horizontal="center" vertical="center" shrinkToFit="1"/>
    </xf>
    <xf numFmtId="0" fontId="45" fillId="5" borderId="57" xfId="1" applyFont="1" applyFill="1" applyBorder="1" applyAlignment="1">
      <alignment horizontal="center" vertical="center" shrinkToFit="1" readingOrder="1"/>
    </xf>
    <xf numFmtId="0" fontId="46" fillId="0" borderId="58" xfId="0" applyFont="1" applyBorder="1" applyAlignment="1">
      <alignment horizontal="center" vertical="center" shrinkToFit="1" readingOrder="1"/>
    </xf>
    <xf numFmtId="0" fontId="40" fillId="0" borderId="9" xfId="0" applyFont="1" applyBorder="1" applyAlignment="1">
      <alignment horizontal="center" vertical="center" shrinkToFit="1" readingOrder="1"/>
    </xf>
    <xf numFmtId="0" fontId="46" fillId="0" borderId="2" xfId="0" applyFont="1" applyBorder="1" applyAlignment="1">
      <alignment horizontal="center" vertical="center" shrinkToFit="1" readingOrder="1"/>
    </xf>
    <xf numFmtId="0" fontId="40" fillId="0" borderId="10" xfId="0" applyFont="1" applyBorder="1" applyAlignment="1">
      <alignment horizontal="center" vertical="center" shrinkToFit="1" readingOrder="1"/>
    </xf>
    <xf numFmtId="0" fontId="66" fillId="0" borderId="10" xfId="1" applyFont="1" applyBorder="1" applyAlignment="1">
      <alignment horizontal="center" vertical="center" shrinkToFit="1" readingOrder="1"/>
    </xf>
    <xf numFmtId="0" fontId="46" fillId="0" borderId="2" xfId="0" applyFont="1" applyBorder="1" applyAlignment="1">
      <alignment horizontal="center" vertical="center" readingOrder="1"/>
    </xf>
    <xf numFmtId="0" fontId="41" fillId="0" borderId="10" xfId="0" applyFont="1" applyBorder="1" applyAlignment="1">
      <alignment horizontal="center" vertical="center"/>
    </xf>
    <xf numFmtId="14" fontId="49" fillId="0" borderId="9" xfId="0" applyNumberFormat="1" applyFont="1" applyBorder="1" applyAlignment="1">
      <alignment horizontal="center" vertical="center" wrapText="1"/>
    </xf>
    <xf numFmtId="14" fontId="0" fillId="0" borderId="0" xfId="0" applyNumberFormat="1"/>
    <xf numFmtId="14" fontId="49" fillId="2" borderId="8" xfId="0" applyNumberFormat="1" applyFont="1" applyFill="1" applyBorder="1" applyAlignment="1">
      <alignment vertical="center" shrinkToFit="1"/>
    </xf>
    <xf numFmtId="14" fontId="49" fillId="2" borderId="6" xfId="0" applyNumberFormat="1" applyFont="1" applyFill="1" applyBorder="1" applyAlignment="1">
      <alignment vertical="center" shrinkToFit="1"/>
    </xf>
    <xf numFmtId="0" fontId="14" fillId="7" borderId="1" xfId="0" applyFont="1" applyFill="1" applyBorder="1" applyAlignment="1">
      <alignment horizontal="center"/>
    </xf>
    <xf numFmtId="164" fontId="10" fillId="7" borderId="1" xfId="0" applyNumberFormat="1" applyFont="1" applyFill="1" applyBorder="1" applyAlignment="1" applyProtection="1">
      <alignment horizontal="center"/>
      <protection locked="0"/>
    </xf>
    <xf numFmtId="164" fontId="0" fillId="7" borderId="1" xfId="0" applyNumberFormat="1" applyFill="1" applyBorder="1" applyAlignment="1" applyProtection="1">
      <alignment horizontal="center"/>
      <protection locked="0"/>
    </xf>
    <xf numFmtId="20" fontId="0" fillId="7" borderId="1" xfId="0" applyNumberFormat="1" applyFill="1" applyBorder="1" applyAlignment="1" applyProtection="1">
      <alignment horizontal="center"/>
      <protection locked="0"/>
    </xf>
    <xf numFmtId="0" fontId="25" fillId="0" borderId="11" xfId="0" applyFont="1" applyBorder="1" applyAlignment="1">
      <alignment horizontal="center"/>
    </xf>
    <xf numFmtId="0" fontId="17" fillId="0" borderId="0" xfId="0" applyFont="1" applyAlignment="1" applyProtection="1">
      <alignment horizontal="center" wrapText="1"/>
      <protection locked="0"/>
    </xf>
    <xf numFmtId="0" fontId="26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10" fillId="0" borderId="1" xfId="0" applyNumberFormat="1" applyFont="1" applyFill="1" applyBorder="1" applyAlignment="1" applyProtection="1">
      <alignment horizontal="center"/>
      <protection locked="0"/>
    </xf>
    <xf numFmtId="0" fontId="41" fillId="0" borderId="9" xfId="0" applyFont="1" applyBorder="1" applyAlignment="1">
      <alignment horizontal="left" vertical="center" readingOrder="1"/>
    </xf>
    <xf numFmtId="0" fontId="41" fillId="0" borderId="10" xfId="0" applyFont="1" applyBorder="1" applyAlignment="1">
      <alignment horizontal="left" vertical="center" readingOrder="1"/>
    </xf>
    <xf numFmtId="0" fontId="66" fillId="0" borderId="25" xfId="1" applyFont="1" applyBorder="1" applyAlignment="1">
      <alignment horizontal="left" vertical="center" shrinkToFit="1" readingOrder="1"/>
    </xf>
    <xf numFmtId="0" fontId="57" fillId="2" borderId="10" xfId="2" applyFont="1" applyFill="1" applyBorder="1" applyAlignment="1">
      <alignment horizontal="left" vertical="center" wrapText="1"/>
    </xf>
    <xf numFmtId="0" fontId="66" fillId="0" borderId="10" xfId="1" applyFont="1" applyBorder="1" applyAlignment="1">
      <alignment horizontal="left" vertical="center" shrinkToFit="1" readingOrder="1"/>
    </xf>
    <xf numFmtId="0" fontId="64" fillId="0" borderId="10" xfId="0" applyFont="1" applyBorder="1" applyAlignment="1">
      <alignment horizontal="left" vertical="center" wrapText="1" readingOrder="1"/>
    </xf>
    <xf numFmtId="0" fontId="64" fillId="0" borderId="10" xfId="0" applyFont="1" applyBorder="1" applyAlignment="1">
      <alignment horizontal="left" vertical="center" wrapText="1"/>
    </xf>
    <xf numFmtId="0" fontId="75" fillId="0" borderId="7" xfId="0" applyFont="1" applyBorder="1" applyAlignment="1">
      <alignment vertical="center" wrapText="1" readingOrder="1"/>
    </xf>
    <xf numFmtId="0" fontId="75" fillId="2" borderId="7" xfId="0" applyFont="1" applyFill="1" applyBorder="1" applyAlignment="1">
      <alignment vertical="center" wrapText="1" readingOrder="1"/>
    </xf>
    <xf numFmtId="0" fontId="76" fillId="0" borderId="35" xfId="1" applyFont="1" applyBorder="1" applyAlignment="1">
      <alignment vertical="center" wrapText="1" shrinkToFit="1" readingOrder="1"/>
    </xf>
    <xf numFmtId="0" fontId="76" fillId="0" borderId="7" xfId="1" applyFont="1" applyBorder="1" applyAlignment="1">
      <alignment vertical="center" wrapText="1" shrinkToFit="1" readingOrder="1"/>
    </xf>
    <xf numFmtId="0" fontId="49" fillId="0" borderId="10" xfId="0" applyFont="1" applyBorder="1" applyAlignment="1">
      <alignment horizontal="left" vertical="center" wrapText="1" readingOrder="1"/>
    </xf>
    <xf numFmtId="0" fontId="0" fillId="0" borderId="0" xfId="0" applyFill="1" applyBorder="1"/>
    <xf numFmtId="0" fontId="65" fillId="0" borderId="0" xfId="0" applyFont="1" applyFill="1" applyBorder="1" applyAlignment="1">
      <alignment horizontal="center"/>
    </xf>
    <xf numFmtId="0" fontId="78" fillId="0" borderId="0" xfId="0" applyFont="1" applyFill="1" applyBorder="1"/>
    <xf numFmtId="0" fontId="79" fillId="0" borderId="0" xfId="0" applyFont="1" applyFill="1" applyBorder="1"/>
    <xf numFmtId="0" fontId="80" fillId="0" borderId="0" xfId="0" applyFont="1" applyFill="1" applyBorder="1"/>
    <xf numFmtId="0" fontId="77" fillId="0" borderId="0" xfId="0" applyFont="1" applyFill="1"/>
    <xf numFmtId="0" fontId="81" fillId="0" borderId="0" xfId="0" applyFont="1" applyAlignment="1">
      <alignment horizontal="left"/>
    </xf>
    <xf numFmtId="0" fontId="83" fillId="0" borderId="0" xfId="0" applyFont="1" applyFill="1" applyAlignment="1">
      <alignment horizontal="center" vertical="center" wrapText="1"/>
    </xf>
    <xf numFmtId="0" fontId="77" fillId="0" borderId="0" xfId="0" applyFont="1" applyFill="1" applyAlignment="1">
      <alignment horizontal="center"/>
    </xf>
    <xf numFmtId="0" fontId="77" fillId="0" borderId="0" xfId="0" applyFont="1" applyFill="1" applyAlignment="1">
      <alignment shrinkToFit="1"/>
    </xf>
    <xf numFmtId="0" fontId="0" fillId="0" borderId="1" xfId="0" applyBorder="1" applyAlignment="1">
      <alignment wrapText="1"/>
    </xf>
    <xf numFmtId="0" fontId="77" fillId="0" borderId="0" xfId="0" applyFont="1" applyFill="1" applyBorder="1"/>
    <xf numFmtId="0" fontId="77" fillId="0" borderId="0" xfId="0" applyFont="1" applyFill="1" applyBorder="1" applyAlignment="1">
      <alignment horizontal="center"/>
    </xf>
    <xf numFmtId="0" fontId="77" fillId="0" borderId="0" xfId="0" applyFont="1" applyFill="1" applyBorder="1" applyAlignment="1"/>
    <xf numFmtId="14" fontId="10" fillId="0" borderId="1" xfId="0" applyNumberFormat="1" applyFont="1" applyFill="1" applyBorder="1" applyAlignment="1" applyProtection="1">
      <alignment horizontal="center"/>
      <protection locked="0"/>
    </xf>
    <xf numFmtId="14" fontId="10" fillId="7" borderId="1" xfId="0" applyNumberFormat="1" applyFont="1" applyFill="1" applyBorder="1" applyAlignment="1" applyProtection="1">
      <alignment horizontal="center"/>
      <protection locked="0"/>
    </xf>
    <xf numFmtId="0" fontId="45" fillId="0" borderId="10" xfId="1" applyFont="1" applyFill="1" applyBorder="1" applyAlignment="1">
      <alignment horizontal="center" vertical="center" shrinkToFit="1"/>
    </xf>
    <xf numFmtId="14" fontId="10" fillId="0" borderId="1" xfId="0" applyNumberFormat="1" applyFont="1" applyFill="1" applyBorder="1" applyAlignment="1" applyProtection="1">
      <alignment horizontal="center"/>
      <protection locked="0"/>
    </xf>
    <xf numFmtId="0" fontId="34" fillId="0" borderId="38" xfId="0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73" fillId="0" borderId="61" xfId="0" applyFont="1" applyBorder="1" applyAlignment="1">
      <alignment horizontal="left"/>
    </xf>
    <xf numFmtId="14" fontId="24" fillId="2" borderId="46" xfId="0" applyNumberFormat="1" applyFont="1" applyFill="1" applyBorder="1" applyAlignment="1" applyProtection="1">
      <alignment horizontal="center"/>
      <protection locked="0"/>
    </xf>
    <xf numFmtId="20" fontId="0" fillId="2" borderId="47" xfId="0" applyNumberFormat="1" applyFill="1" applyBorder="1" applyAlignment="1" applyProtection="1">
      <alignment horizontal="center"/>
      <protection locked="0"/>
    </xf>
    <xf numFmtId="0" fontId="73" fillId="0" borderId="33" xfId="0" applyFont="1" applyBorder="1" applyAlignment="1">
      <alignment horizontal="left"/>
    </xf>
    <xf numFmtId="20" fontId="0" fillId="2" borderId="34" xfId="0" applyNumberFormat="1" applyFill="1" applyBorder="1" applyAlignment="1" applyProtection="1">
      <alignment horizontal="center"/>
      <protection locked="0"/>
    </xf>
    <xf numFmtId="0" fontId="73" fillId="0" borderId="13" xfId="0" applyFont="1" applyBorder="1" applyAlignment="1">
      <alignment horizontal="left"/>
    </xf>
    <xf numFmtId="0" fontId="74" fillId="0" borderId="33" xfId="0" applyFont="1" applyBorder="1" applyAlignment="1">
      <alignment horizontal="left"/>
    </xf>
    <xf numFmtId="20" fontId="0" fillId="2" borderId="34" xfId="0" applyNumberFormat="1" applyFill="1" applyBorder="1" applyAlignment="1">
      <alignment horizontal="center"/>
    </xf>
    <xf numFmtId="0" fontId="74" fillId="2" borderId="33" xfId="0" applyFont="1" applyFill="1" applyBorder="1" applyAlignment="1">
      <alignment horizontal="left"/>
    </xf>
    <xf numFmtId="20" fontId="72" fillId="2" borderId="34" xfId="0" applyNumberFormat="1" applyFont="1" applyFill="1" applyBorder="1" applyAlignment="1" applyProtection="1">
      <alignment horizontal="center"/>
      <protection locked="0"/>
    </xf>
    <xf numFmtId="0" fontId="74" fillId="0" borderId="40" xfId="0" applyFont="1" applyBorder="1" applyAlignment="1">
      <alignment horizontal="left"/>
    </xf>
    <xf numFmtId="14" fontId="24" fillId="2" borderId="42" xfId="0" applyNumberFormat="1" applyFont="1" applyFill="1" applyBorder="1" applyAlignment="1" applyProtection="1">
      <alignment horizontal="center"/>
      <protection locked="0"/>
    </xf>
    <xf numFmtId="20" fontId="72" fillId="2" borderId="43" xfId="0" applyNumberFormat="1" applyFont="1" applyFill="1" applyBorder="1" applyAlignment="1" applyProtection="1">
      <alignment horizontal="center"/>
      <protection locked="0"/>
    </xf>
    <xf numFmtId="14" fontId="10" fillId="0" borderId="1" xfId="0" applyNumberFormat="1" applyFont="1" applyFill="1" applyBorder="1" applyAlignment="1" applyProtection="1">
      <alignment horizontal="center"/>
      <protection locked="0"/>
    </xf>
    <xf numFmtId="14" fontId="35" fillId="7" borderId="1" xfId="0" applyNumberFormat="1" applyFont="1" applyFill="1" applyBorder="1" applyAlignment="1" applyProtection="1">
      <alignment horizontal="center"/>
      <protection locked="0"/>
    </xf>
    <xf numFmtId="14" fontId="10" fillId="0" borderId="1" xfId="0" applyNumberFormat="1" applyFont="1" applyFill="1" applyBorder="1" applyAlignment="1" applyProtection="1">
      <alignment horizontal="center"/>
      <protection locked="0"/>
    </xf>
    <xf numFmtId="14" fontId="8" fillId="0" borderId="1" xfId="0" applyNumberFormat="1" applyFont="1" applyFill="1" applyBorder="1" applyAlignment="1" applyProtection="1">
      <alignment horizontal="center"/>
      <protection locked="0"/>
    </xf>
    <xf numFmtId="14" fontId="10" fillId="7" borderId="1" xfId="0" applyNumberFormat="1" applyFont="1" applyFill="1" applyBorder="1" applyAlignment="1" applyProtection="1">
      <alignment horizontal="center"/>
      <protection locked="0"/>
    </xf>
    <xf numFmtId="14" fontId="8" fillId="0" borderId="1" xfId="0" applyNumberFormat="1" applyFont="1" applyFill="1" applyBorder="1" applyAlignment="1" applyProtection="1">
      <alignment horizontal="center"/>
      <protection locked="0"/>
    </xf>
    <xf numFmtId="14" fontId="9" fillId="0" borderId="1" xfId="0" applyNumberFormat="1" applyFont="1" applyFill="1" applyBorder="1" applyAlignment="1" applyProtection="1">
      <alignment horizontal="center"/>
      <protection locked="0"/>
    </xf>
    <xf numFmtId="14" fontId="87" fillId="8" borderId="12" xfId="0" applyNumberFormat="1" applyFont="1" applyFill="1" applyBorder="1" applyAlignment="1">
      <alignment horizontal="center"/>
    </xf>
    <xf numFmtId="0" fontId="87" fillId="8" borderId="5" xfId="0" applyFont="1" applyFill="1" applyBorder="1" applyAlignment="1">
      <alignment horizontal="left"/>
    </xf>
    <xf numFmtId="14" fontId="4" fillId="0" borderId="1" xfId="0" applyNumberFormat="1" applyFont="1" applyFill="1" applyBorder="1" applyAlignment="1" applyProtection="1">
      <alignment horizontal="center"/>
      <protection locked="0"/>
    </xf>
    <xf numFmtId="14" fontId="1" fillId="0" borderId="1" xfId="0" applyNumberFormat="1" applyFont="1" applyFill="1" applyBorder="1" applyAlignment="1" applyProtection="1">
      <alignment horizontal="center"/>
      <protection locked="0"/>
    </xf>
    <xf numFmtId="14" fontId="10" fillId="0" borderId="1" xfId="0" applyNumberFormat="1" applyFont="1" applyFill="1" applyBorder="1" applyAlignment="1" applyProtection="1">
      <alignment horizontal="center"/>
      <protection locked="0"/>
    </xf>
    <xf numFmtId="14" fontId="7" fillId="0" borderId="1" xfId="0" applyNumberFormat="1" applyFont="1" applyFill="1" applyBorder="1" applyAlignment="1" applyProtection="1">
      <alignment horizontal="center"/>
      <protection locked="0"/>
    </xf>
    <xf numFmtId="14" fontId="5" fillId="0" borderId="1" xfId="0" applyNumberFormat="1" applyFont="1" applyFill="1" applyBorder="1" applyAlignment="1" applyProtection="1">
      <alignment horizontal="center"/>
      <protection locked="0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14" fontId="6" fillId="0" borderId="1" xfId="0" applyNumberFormat="1" applyFont="1" applyFill="1" applyBorder="1" applyAlignment="1" applyProtection="1">
      <alignment horizontal="center"/>
      <protection locked="0"/>
    </xf>
    <xf numFmtId="14" fontId="10" fillId="7" borderId="1" xfId="0" applyNumberFormat="1" applyFont="1" applyFill="1" applyBorder="1" applyAlignment="1" applyProtection="1">
      <alignment horizontal="center"/>
      <protection locked="0"/>
    </xf>
    <xf numFmtId="14" fontId="2" fillId="7" borderId="1" xfId="0" applyNumberFormat="1" applyFont="1" applyFill="1" applyBorder="1" applyAlignment="1" applyProtection="1">
      <alignment horizontal="center"/>
      <protection locked="0"/>
    </xf>
    <xf numFmtId="14" fontId="35" fillId="7" borderId="1" xfId="0" applyNumberFormat="1" applyFont="1" applyFill="1" applyBorder="1" applyAlignment="1" applyProtection="1">
      <alignment horizontal="center"/>
      <protection locked="0"/>
    </xf>
    <xf numFmtId="0" fontId="82" fillId="0" borderId="0" xfId="0" applyFont="1" applyBorder="1" applyAlignment="1">
      <alignment horizontal="center"/>
    </xf>
    <xf numFmtId="0" fontId="81" fillId="0" borderId="0" xfId="0" applyFont="1" applyBorder="1"/>
    <xf numFmtId="0" fontId="63" fillId="0" borderId="15" xfId="0" applyFont="1" applyBorder="1" applyAlignment="1">
      <alignment horizontal="center"/>
    </xf>
    <xf numFmtId="0" fontId="84" fillId="0" borderId="15" xfId="0" applyFont="1" applyFill="1" applyBorder="1" applyAlignment="1">
      <alignment horizontal="center"/>
    </xf>
    <xf numFmtId="0" fontId="85" fillId="0" borderId="16" xfId="0" applyFont="1" applyFill="1" applyBorder="1" applyAlignment="1">
      <alignment horizontal="center"/>
    </xf>
    <xf numFmtId="0" fontId="16" fillId="0" borderId="0" xfId="0" applyFont="1" applyAlignment="1" applyProtection="1">
      <alignment horizontal="right" wrapText="1"/>
      <protection locked="0"/>
    </xf>
    <xf numFmtId="0" fontId="17" fillId="0" borderId="0" xfId="0" applyFont="1" applyAlignment="1" applyProtection="1">
      <alignment horizontal="center" wrapText="1"/>
      <protection locked="0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/>
    </xf>
    <xf numFmtId="0" fontId="16" fillId="0" borderId="0" xfId="0" applyFont="1" applyAlignment="1">
      <alignment horizontal="right" wrapText="1"/>
    </xf>
    <xf numFmtId="0" fontId="17" fillId="0" borderId="0" xfId="0" applyFont="1" applyAlignment="1">
      <alignment horizontal="center" wrapText="1"/>
    </xf>
    <xf numFmtId="0" fontId="18" fillId="0" borderId="44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1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49" fillId="0" borderId="12" xfId="0" applyFont="1" applyBorder="1" applyAlignment="1">
      <alignment horizontal="center" vertical="center"/>
    </xf>
    <xf numFmtId="0" fontId="49" fillId="0" borderId="16" xfId="0" applyFont="1" applyBorder="1" applyAlignment="1">
      <alignment horizontal="center" vertical="center"/>
    </xf>
    <xf numFmtId="0" fontId="49" fillId="0" borderId="8" xfId="0" applyFont="1" applyBorder="1" applyAlignment="1">
      <alignment horizontal="center" vertical="center" wrapText="1"/>
    </xf>
    <xf numFmtId="0" fontId="49" fillId="0" borderId="23" xfId="0" applyFont="1" applyBorder="1" applyAlignment="1">
      <alignment horizontal="center" vertical="center" wrapText="1"/>
    </xf>
    <xf numFmtId="0" fontId="49" fillId="0" borderId="6" xfId="0" applyFont="1" applyBorder="1" applyAlignment="1">
      <alignment horizontal="center" vertical="center" wrapText="1"/>
    </xf>
    <xf numFmtId="0" fontId="48" fillId="0" borderId="12" xfId="0" applyFont="1" applyBorder="1" applyAlignment="1">
      <alignment horizontal="right" vertical="center"/>
    </xf>
    <xf numFmtId="0" fontId="48" fillId="0" borderId="15" xfId="0" applyFont="1" applyBorder="1" applyAlignment="1">
      <alignment horizontal="right" vertical="center"/>
    </xf>
    <xf numFmtId="0" fontId="48" fillId="0" borderId="12" xfId="0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0" fontId="38" fillId="0" borderId="12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14" fontId="40" fillId="2" borderId="8" xfId="0" applyNumberFormat="1" applyFont="1" applyFill="1" applyBorder="1" applyAlignment="1">
      <alignment horizontal="center" vertical="center" shrinkToFit="1"/>
    </xf>
    <xf numFmtId="14" fontId="40" fillId="2" borderId="6" xfId="0" applyNumberFormat="1" applyFont="1" applyFill="1" applyBorder="1" applyAlignment="1">
      <alignment horizontal="center" vertical="center" shrinkToFit="1"/>
    </xf>
    <xf numFmtId="0" fontId="41" fillId="2" borderId="18" xfId="0" applyFont="1" applyFill="1" applyBorder="1" applyAlignment="1">
      <alignment horizontal="center" vertical="center" wrapText="1" shrinkToFit="1"/>
    </xf>
    <xf numFmtId="0" fontId="41" fillId="2" borderId="19" xfId="0" applyFont="1" applyFill="1" applyBorder="1" applyAlignment="1">
      <alignment horizontal="center" vertical="center" wrapText="1" shrinkToFit="1"/>
    </xf>
    <xf numFmtId="0" fontId="42" fillId="0" borderId="8" xfId="0" applyFont="1" applyBorder="1" applyAlignment="1">
      <alignment horizontal="center" vertical="center" wrapText="1"/>
    </xf>
    <xf numFmtId="0" fontId="42" fillId="0" borderId="23" xfId="0" applyFont="1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0" fontId="41" fillId="2" borderId="12" xfId="0" applyFont="1" applyFill="1" applyBorder="1" applyAlignment="1">
      <alignment horizontal="center" vertical="center" wrapText="1" shrinkToFit="1"/>
    </xf>
    <xf numFmtId="0" fontId="41" fillId="2" borderId="15" xfId="0" applyFont="1" applyFill="1" applyBorder="1" applyAlignment="1">
      <alignment horizontal="center" vertical="center" wrapText="1" shrinkToFit="1"/>
    </xf>
    <xf numFmtId="0" fontId="41" fillId="2" borderId="16" xfId="0" applyFont="1" applyFill="1" applyBorder="1" applyAlignment="1">
      <alignment horizontal="center" vertical="center" wrapText="1" shrinkToFit="1"/>
    </xf>
    <xf numFmtId="0" fontId="51" fillId="2" borderId="23" xfId="0" applyFont="1" applyFill="1" applyBorder="1" applyAlignment="1">
      <alignment horizontal="center" vertical="center" shrinkToFit="1"/>
    </xf>
    <xf numFmtId="0" fontId="51" fillId="2" borderId="6" xfId="0" applyFont="1" applyFill="1" applyBorder="1" applyAlignment="1">
      <alignment horizontal="center" vertical="center" shrinkToFit="1"/>
    </xf>
    <xf numFmtId="0" fontId="51" fillId="2" borderId="12" xfId="0" applyFont="1" applyFill="1" applyBorder="1" applyAlignment="1">
      <alignment horizontal="center" vertical="center" wrapText="1" shrinkToFit="1"/>
    </xf>
    <xf numFmtId="0" fontId="51" fillId="2" borderId="15" xfId="0" applyFont="1" applyFill="1" applyBorder="1" applyAlignment="1">
      <alignment horizontal="center" vertical="center" wrapText="1" shrinkToFit="1"/>
    </xf>
    <xf numFmtId="0" fontId="51" fillId="2" borderId="16" xfId="0" applyFont="1" applyFill="1" applyBorder="1" applyAlignment="1">
      <alignment horizontal="center" vertical="center" wrapText="1" shrinkToFit="1"/>
    </xf>
    <xf numFmtId="0" fontId="53" fillId="0" borderId="12" xfId="0" applyFont="1" applyBorder="1" applyAlignment="1">
      <alignment horizontal="right" vertical="center"/>
    </xf>
    <xf numFmtId="0" fontId="53" fillId="0" borderId="15" xfId="0" applyFont="1" applyBorder="1" applyAlignment="1">
      <alignment horizontal="right" vertical="center"/>
    </xf>
    <xf numFmtId="0" fontId="53" fillId="0" borderId="16" xfId="0" applyFont="1" applyBorder="1" applyAlignment="1">
      <alignment horizontal="right" vertical="center"/>
    </xf>
    <xf numFmtId="0" fontId="51" fillId="0" borderId="12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14" fontId="52" fillId="0" borderId="12" xfId="0" applyNumberFormat="1" applyFont="1" applyBorder="1" applyAlignment="1">
      <alignment horizontal="center" vertical="center"/>
    </xf>
    <xf numFmtId="0" fontId="52" fillId="0" borderId="16" xfId="0" applyFont="1" applyBorder="1" applyAlignment="1">
      <alignment horizontal="center" vertical="center"/>
    </xf>
    <xf numFmtId="0" fontId="51" fillId="0" borderId="16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8" fillId="0" borderId="14" xfId="0" applyFont="1" applyBorder="1" applyAlignment="1">
      <alignment horizontal="center" vertical="center"/>
    </xf>
    <xf numFmtId="0" fontId="41" fillId="2" borderId="23" xfId="0" applyFont="1" applyFill="1" applyBorder="1" applyAlignment="1">
      <alignment horizontal="center" vertical="center" shrinkToFit="1"/>
    </xf>
    <xf numFmtId="0" fontId="41" fillId="2" borderId="24" xfId="0" applyFont="1" applyFill="1" applyBorder="1" applyAlignment="1">
      <alignment horizontal="center" vertical="center" wrapText="1" shrinkToFit="1"/>
    </xf>
    <xf numFmtId="0" fontId="48" fillId="0" borderId="26" xfId="0" applyFont="1" applyBorder="1" applyAlignment="1">
      <alignment horizontal="right" vertical="center"/>
    </xf>
    <xf numFmtId="0" fontId="48" fillId="0" borderId="14" xfId="0" applyFont="1" applyBorder="1" applyAlignment="1">
      <alignment horizontal="right" vertical="center"/>
    </xf>
    <xf numFmtId="0" fontId="48" fillId="0" borderId="27" xfId="0" applyFont="1" applyBorder="1" applyAlignment="1">
      <alignment horizontal="right" vertical="center"/>
    </xf>
    <xf numFmtId="0" fontId="48" fillId="0" borderId="26" xfId="0" applyFont="1" applyBorder="1" applyAlignment="1">
      <alignment horizontal="center" vertical="center"/>
    </xf>
    <xf numFmtId="0" fontId="48" fillId="0" borderId="27" xfId="0" applyFont="1" applyBorder="1" applyAlignment="1">
      <alignment horizontal="center" vertical="center"/>
    </xf>
    <xf numFmtId="0" fontId="71" fillId="0" borderId="61" xfId="0" applyFont="1" applyBorder="1" applyAlignment="1">
      <alignment horizontal="center"/>
    </xf>
    <xf numFmtId="0" fontId="71" fillId="0" borderId="47" xfId="0" applyFont="1" applyBorder="1" applyAlignment="1">
      <alignment horizontal="center"/>
    </xf>
    <xf numFmtId="0" fontId="71" fillId="0" borderId="40" xfId="0" applyFont="1" applyBorder="1" applyAlignment="1">
      <alignment horizontal="center"/>
    </xf>
    <xf numFmtId="0" fontId="71" fillId="0" borderId="43" xfId="0" applyFont="1" applyBorder="1" applyAlignment="1">
      <alignment horizontal="center"/>
    </xf>
    <xf numFmtId="0" fontId="71" fillId="0" borderId="18" xfId="0" applyFont="1" applyBorder="1" applyAlignment="1">
      <alignment horizontal="right"/>
    </xf>
    <xf numFmtId="0" fontId="71" fillId="0" borderId="19" xfId="0" applyFont="1" applyBorder="1" applyAlignment="1">
      <alignment horizontal="right"/>
    </xf>
    <xf numFmtId="0" fontId="71" fillId="0" borderId="24" xfId="0" applyFont="1" applyBorder="1" applyAlignment="1">
      <alignment horizontal="right"/>
    </xf>
    <xf numFmtId="0" fontId="71" fillId="0" borderId="26" xfId="0" applyFont="1" applyBorder="1" applyAlignment="1">
      <alignment horizontal="right"/>
    </xf>
    <xf numFmtId="0" fontId="71" fillId="0" borderId="14" xfId="0" applyFont="1" applyBorder="1" applyAlignment="1">
      <alignment horizontal="right"/>
    </xf>
    <xf numFmtId="0" fontId="71" fillId="0" borderId="27" xfId="0" applyFont="1" applyBorder="1" applyAlignment="1">
      <alignment horizontal="right"/>
    </xf>
    <xf numFmtId="0" fontId="41" fillId="0" borderId="49" xfId="0" applyFont="1" applyBorder="1" applyAlignment="1">
      <alignment horizontal="center" vertical="center" wrapText="1" readingOrder="1"/>
    </xf>
    <xf numFmtId="0" fontId="41" fillId="0" borderId="7" xfId="0" applyFont="1" applyBorder="1" applyAlignment="1">
      <alignment horizontal="center" vertical="center" wrapText="1" readingOrder="1"/>
    </xf>
    <xf numFmtId="0" fontId="41" fillId="0" borderId="53" xfId="0" applyFont="1" applyBorder="1" applyAlignment="1">
      <alignment horizontal="center" vertical="center" wrapText="1" readingOrder="1"/>
    </xf>
    <xf numFmtId="0" fontId="41" fillId="0" borderId="9" xfId="0" applyFont="1" applyBorder="1" applyAlignment="1">
      <alignment horizontal="center" vertical="center" wrapText="1" readingOrder="1"/>
    </xf>
    <xf numFmtId="0" fontId="41" fillId="0" borderId="10" xfId="0" applyFont="1" applyBorder="1" applyAlignment="1">
      <alignment horizontal="center" vertical="center" wrapText="1" readingOrder="1"/>
    </xf>
    <xf numFmtId="0" fontId="41" fillId="0" borderId="48" xfId="0" applyFont="1" applyBorder="1" applyAlignment="1">
      <alignment horizontal="center" vertical="center" wrapText="1" readingOrder="1"/>
    </xf>
    <xf numFmtId="0" fontId="45" fillId="5" borderId="18" xfId="1" applyFont="1" applyFill="1" applyBorder="1" applyAlignment="1">
      <alignment horizontal="center" vertical="center" shrinkToFit="1"/>
    </xf>
    <xf numFmtId="0" fontId="45" fillId="5" borderId="19" xfId="1" applyFont="1" applyFill="1" applyBorder="1" applyAlignment="1">
      <alignment horizontal="center" vertical="center" shrinkToFit="1"/>
    </xf>
    <xf numFmtId="0" fontId="45" fillId="5" borderId="24" xfId="1" applyFont="1" applyFill="1" applyBorder="1" applyAlignment="1">
      <alignment horizontal="center" vertical="center" shrinkToFit="1"/>
    </xf>
    <xf numFmtId="0" fontId="45" fillId="5" borderId="13" xfId="1" applyFont="1" applyFill="1" applyBorder="1" applyAlignment="1">
      <alignment horizontal="center" vertical="center" shrinkToFit="1"/>
    </xf>
    <xf numFmtId="0" fontId="45" fillId="5" borderId="0" xfId="1" applyFont="1" applyFill="1" applyAlignment="1">
      <alignment horizontal="center" vertical="center" shrinkToFit="1"/>
    </xf>
    <xf numFmtId="0" fontId="45" fillId="5" borderId="28" xfId="1" applyFont="1" applyFill="1" applyBorder="1" applyAlignment="1">
      <alignment horizontal="center" vertical="center" shrinkToFit="1"/>
    </xf>
    <xf numFmtId="0" fontId="45" fillId="5" borderId="26" xfId="1" applyFont="1" applyFill="1" applyBorder="1" applyAlignment="1">
      <alignment horizontal="center" vertical="center" shrinkToFit="1"/>
    </xf>
    <xf numFmtId="0" fontId="45" fillId="5" borderId="14" xfId="1" applyFont="1" applyFill="1" applyBorder="1" applyAlignment="1">
      <alignment horizontal="center" vertical="center" shrinkToFit="1"/>
    </xf>
    <xf numFmtId="0" fontId="45" fillId="5" borderId="27" xfId="1" applyFont="1" applyFill="1" applyBorder="1" applyAlignment="1">
      <alignment horizontal="center" vertical="center" shrinkToFit="1"/>
    </xf>
    <xf numFmtId="0" fontId="45" fillId="5" borderId="45" xfId="1" applyFont="1" applyFill="1" applyBorder="1" applyAlignment="1">
      <alignment horizontal="center" vertical="center" shrinkToFit="1"/>
    </xf>
    <xf numFmtId="0" fontId="45" fillId="5" borderId="46" xfId="1" applyFont="1" applyFill="1" applyBorder="1" applyAlignment="1">
      <alignment horizontal="center" vertical="center" shrinkToFit="1"/>
    </xf>
    <xf numFmtId="0" fontId="45" fillId="5" borderId="51" xfId="1" applyFont="1" applyFill="1" applyBorder="1" applyAlignment="1">
      <alignment horizontal="center" vertical="center" shrinkToFit="1"/>
    </xf>
    <xf numFmtId="0" fontId="45" fillId="5" borderId="4" xfId="1" applyFont="1" applyFill="1" applyBorder="1" applyAlignment="1">
      <alignment horizontal="center" vertical="center" shrinkToFit="1"/>
    </xf>
    <xf numFmtId="0" fontId="45" fillId="5" borderId="1" xfId="1" applyFont="1" applyFill="1" applyBorder="1" applyAlignment="1">
      <alignment horizontal="center" vertical="center" shrinkToFit="1"/>
    </xf>
    <xf numFmtId="0" fontId="45" fillId="5" borderId="2" xfId="1" applyFont="1" applyFill="1" applyBorder="1" applyAlignment="1">
      <alignment horizontal="center" vertical="center" shrinkToFit="1"/>
    </xf>
    <xf numFmtId="0" fontId="45" fillId="5" borderId="41" xfId="1" applyFont="1" applyFill="1" applyBorder="1" applyAlignment="1">
      <alignment horizontal="center" vertical="center" shrinkToFit="1"/>
    </xf>
    <xf numFmtId="0" fontId="45" fillId="5" borderId="42" xfId="1" applyFont="1" applyFill="1" applyBorder="1" applyAlignment="1">
      <alignment horizontal="center" vertical="center" shrinkToFit="1"/>
    </xf>
    <xf numFmtId="0" fontId="45" fillId="5" borderId="55" xfId="1" applyFont="1" applyFill="1" applyBorder="1" applyAlignment="1">
      <alignment horizontal="center" vertical="center" shrinkToFit="1"/>
    </xf>
    <xf numFmtId="0" fontId="45" fillId="5" borderId="60" xfId="1" applyFont="1" applyFill="1" applyBorder="1" applyAlignment="1">
      <alignment horizontal="center" vertical="center" shrinkToFit="1"/>
    </xf>
    <xf numFmtId="0" fontId="45" fillId="5" borderId="21" xfId="1" applyFont="1" applyFill="1" applyBorder="1" applyAlignment="1">
      <alignment horizontal="center" vertical="center" shrinkToFit="1"/>
    </xf>
    <xf numFmtId="0" fontId="45" fillId="5" borderId="17" xfId="1" applyFont="1" applyFill="1" applyBorder="1" applyAlignment="1">
      <alignment horizontal="center" vertical="center" shrinkToFit="1"/>
    </xf>
    <xf numFmtId="0" fontId="41" fillId="0" borderId="49" xfId="0" applyFont="1" applyBorder="1" applyAlignment="1">
      <alignment horizontal="center" vertical="center" readingOrder="1"/>
    </xf>
    <xf numFmtId="0" fontId="41" fillId="0" borderId="35" xfId="0" applyFont="1" applyBorder="1" applyAlignment="1">
      <alignment horizontal="center" vertical="center" readingOrder="1"/>
    </xf>
    <xf numFmtId="0" fontId="41" fillId="0" borderId="7" xfId="0" applyFont="1" applyBorder="1" applyAlignment="1">
      <alignment horizontal="center" vertical="center" readingOrder="1"/>
    </xf>
    <xf numFmtId="0" fontId="41" fillId="0" borderId="53" xfId="0" applyFont="1" applyBorder="1" applyAlignment="1">
      <alignment horizontal="center" vertical="center" readingOrder="1"/>
    </xf>
    <xf numFmtId="0" fontId="41" fillId="0" borderId="9" xfId="0" applyFont="1" applyBorder="1" applyAlignment="1">
      <alignment horizontal="center" vertical="center" readingOrder="1"/>
    </xf>
    <xf numFmtId="0" fontId="41" fillId="0" borderId="25" xfId="0" applyFont="1" applyBorder="1" applyAlignment="1">
      <alignment horizontal="center" vertical="center" readingOrder="1"/>
    </xf>
    <xf numFmtId="0" fontId="41" fillId="0" borderId="10" xfId="0" applyFont="1" applyBorder="1" applyAlignment="1">
      <alignment horizontal="center" vertical="center" readingOrder="1"/>
    </xf>
    <xf numFmtId="0" fontId="41" fillId="0" borderId="48" xfId="0" applyFont="1" applyBorder="1" applyAlignment="1">
      <alignment horizontal="center" vertical="center" readingOrder="1"/>
    </xf>
    <xf numFmtId="0" fontId="41" fillId="0" borderId="35" xfId="0" applyFont="1" applyBorder="1" applyAlignment="1">
      <alignment horizontal="center" vertical="center" wrapText="1" readingOrder="1"/>
    </xf>
    <xf numFmtId="0" fontId="41" fillId="0" borderId="25" xfId="0" applyFont="1" applyBorder="1" applyAlignment="1">
      <alignment horizontal="center" vertical="center" wrapText="1" readingOrder="1"/>
    </xf>
    <xf numFmtId="0" fontId="38" fillId="0" borderId="12" xfId="0" applyFont="1" applyBorder="1" applyAlignment="1">
      <alignment horizontal="left" vertical="center" wrapText="1"/>
    </xf>
    <xf numFmtId="0" fontId="38" fillId="0" borderId="15" xfId="0" applyFont="1" applyBorder="1" applyAlignment="1">
      <alignment horizontal="left" vertical="center" wrapText="1"/>
    </xf>
    <xf numFmtId="0" fontId="86" fillId="0" borderId="15" xfId="0" applyFont="1" applyBorder="1" applyAlignment="1">
      <alignment horizontal="left" vertical="center" wrapText="1"/>
    </xf>
    <xf numFmtId="0" fontId="38" fillId="0" borderId="16" xfId="0" applyFont="1" applyBorder="1" applyAlignment="1">
      <alignment horizontal="left" vertical="center" wrapText="1"/>
    </xf>
    <xf numFmtId="14" fontId="38" fillId="0" borderId="15" xfId="0" applyNumberFormat="1" applyFont="1" applyBorder="1" applyAlignment="1">
      <alignment horizontal="center" vertical="center" wrapText="1"/>
    </xf>
    <xf numFmtId="0" fontId="38" fillId="0" borderId="16" xfId="0" applyFont="1" applyBorder="1" applyAlignment="1">
      <alignment horizontal="center" vertical="center" wrapText="1"/>
    </xf>
    <xf numFmtId="0" fontId="41" fillId="2" borderId="18" xfId="0" applyFont="1" applyFill="1" applyBorder="1" applyAlignment="1">
      <alignment horizontal="center" vertical="center" shrinkToFit="1"/>
    </xf>
    <xf numFmtId="0" fontId="41" fillId="2" borderId="13" xfId="0" applyFont="1" applyFill="1" applyBorder="1" applyAlignment="1">
      <alignment horizontal="center" vertical="center" shrinkToFit="1"/>
    </xf>
    <xf numFmtId="0" fontId="67" fillId="0" borderId="24" xfId="0" applyFont="1" applyBorder="1" applyAlignment="1">
      <alignment horizontal="center" vertical="center" wrapText="1" shrinkToFit="1"/>
    </xf>
    <xf numFmtId="0" fontId="55" fillId="0" borderId="18" xfId="3" applyFont="1" applyBorder="1" applyAlignment="1">
      <alignment horizontal="center" vertical="center" wrapText="1"/>
    </xf>
    <xf numFmtId="0" fontId="55" fillId="0" borderId="19" xfId="3" applyFont="1" applyBorder="1" applyAlignment="1">
      <alignment horizontal="center" vertical="center" wrapText="1"/>
    </xf>
    <xf numFmtId="0" fontId="55" fillId="0" borderId="24" xfId="3" applyFont="1" applyBorder="1" applyAlignment="1">
      <alignment horizontal="center" vertical="center" wrapText="1"/>
    </xf>
    <xf numFmtId="14" fontId="55" fillId="0" borderId="2" xfId="3" applyNumberFormat="1" applyFont="1" applyBorder="1" applyAlignment="1">
      <alignment horizontal="left" vertical="center"/>
    </xf>
    <xf numFmtId="0" fontId="55" fillId="0" borderId="3" xfId="3" applyNumberFormat="1" applyFont="1" applyBorder="1" applyAlignment="1">
      <alignment horizontal="left" vertical="center"/>
    </xf>
    <xf numFmtId="0" fontId="55" fillId="0" borderId="4" xfId="3" applyNumberFormat="1" applyFont="1" applyBorder="1" applyAlignment="1">
      <alignment horizontal="left" vertical="center"/>
    </xf>
    <xf numFmtId="0" fontId="38" fillId="0" borderId="20" xfId="0" applyFont="1" applyBorder="1" applyAlignment="1">
      <alignment horizontal="center" vertical="center" wrapText="1"/>
    </xf>
    <xf numFmtId="0" fontId="38" fillId="0" borderId="22" xfId="0" applyFont="1" applyBorder="1" applyAlignment="1">
      <alignment horizontal="center" vertical="center" wrapText="1"/>
    </xf>
    <xf numFmtId="14" fontId="87" fillId="8" borderId="26" xfId="0" applyNumberFormat="1" applyFont="1" applyFill="1" applyBorder="1" applyAlignment="1">
      <alignment horizontal="center"/>
    </xf>
    <xf numFmtId="0" fontId="87" fillId="8" borderId="6" xfId="0" applyFont="1" applyFill="1" applyBorder="1" applyAlignment="1">
      <alignment horizontal="left"/>
    </xf>
  </cellXfs>
  <cellStyles count="4">
    <cellStyle name="Normal" xfId="1" xr:uid="{2D8BA84F-CCB5-49DA-AC6E-D3AA6775E7A7}"/>
    <cellStyle name="Обычный" xfId="0" builtinId="0"/>
    <cellStyle name="Обычный 2" xfId="3" xr:uid="{86B3A5F8-6B0A-49F8-843C-DEF71403FFA8}"/>
    <cellStyle name="Обычный_Лист1" xfId="2" xr:uid="{9EB165C8-DD60-4695-AB0E-96B71EFC987D}"/>
  </cellStyles>
  <dxfs count="8"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2203174</xdr:colOff>
      <xdr:row>4</xdr:row>
      <xdr:rowOff>177916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D13710C-C988-4DDD-8CCB-10E94568F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03174" cy="1471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2435087</xdr:colOff>
      <xdr:row>4</xdr:row>
      <xdr:rowOff>196982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6B4B8B0A-A384-479B-B7BD-4DE268FCF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35087" cy="1490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2203174</xdr:colOff>
      <xdr:row>3</xdr:row>
      <xdr:rowOff>204565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8CDF963-50E1-41AE-9ACD-60B77EE11C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03174" cy="1471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2443370</xdr:colOff>
      <xdr:row>4</xdr:row>
      <xdr:rowOff>16565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65D5933-5F57-4B87-9D52-37BED1508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43370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45983</xdr:rowOff>
    </xdr:from>
    <xdr:to>
      <xdr:col>0</xdr:col>
      <xdr:colOff>2444708</xdr:colOff>
      <xdr:row>4</xdr:row>
      <xdr:rowOff>60198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E9EC5F7A-6669-4F8F-B502-29AF3089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5983"/>
          <a:ext cx="2444708" cy="15119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2203174</xdr:colOff>
      <xdr:row>3</xdr:row>
      <xdr:rowOff>204565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00BEFE8-9341-4863-A377-4B90F2FBA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03174" cy="1471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2443370</xdr:colOff>
      <xdr:row>4</xdr:row>
      <xdr:rowOff>16565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ADD52E0-1476-42EE-9A51-76F5912465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43370" cy="1521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13138</xdr:colOff>
      <xdr:row>0</xdr:row>
      <xdr:rowOff>45982</xdr:rowOff>
    </xdr:from>
    <xdr:to>
      <xdr:col>0</xdr:col>
      <xdr:colOff>2457846</xdr:colOff>
      <xdr:row>4</xdr:row>
      <xdr:rowOff>60197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ECD3DD4-5CA0-48DC-961C-718DF5181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38" y="45982"/>
          <a:ext cx="2444708" cy="1511939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203174" cy="1465806"/>
    <xdr:pic>
      <xdr:nvPicPr>
        <xdr:cNvPr id="3" name="Рисунок 2">
          <a:extLst>
            <a:ext uri="{FF2B5EF4-FFF2-40B4-BE49-F238E27FC236}">
              <a16:creationId xmlns:a16="http://schemas.microsoft.com/office/drawing/2014/main" id="{EC87C7B4-D0F9-40F3-A82E-F5724B7B9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03174" cy="1471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0</xdr:row>
      <xdr:rowOff>0</xdr:rowOff>
    </xdr:from>
    <xdr:ext cx="2443370" cy="1514289"/>
    <xdr:pic>
      <xdr:nvPicPr>
        <xdr:cNvPr id="4" name="Рисунок 3">
          <a:extLst>
            <a:ext uri="{FF2B5EF4-FFF2-40B4-BE49-F238E27FC236}">
              <a16:creationId xmlns:a16="http://schemas.microsoft.com/office/drawing/2014/main" id="{6E823687-6A17-463D-9DD2-5532AF40EB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43370" cy="1521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2203174</xdr:colOff>
      <xdr:row>4</xdr:row>
      <xdr:rowOff>177916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23027503-3DA7-4256-8F23-1B9475D849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03174" cy="14733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2435087</xdr:colOff>
      <xdr:row>4</xdr:row>
      <xdr:rowOff>196982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9431FB56-71C9-42EB-8AF4-83E126B6D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35087" cy="1492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2203174</xdr:colOff>
      <xdr:row>4</xdr:row>
      <xdr:rowOff>177916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4181A06-1972-44A6-AA5D-42490BBBB8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03174" cy="14733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2435087</xdr:colOff>
      <xdr:row>4</xdr:row>
      <xdr:rowOff>196982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BDF9DA3-86BF-4324-ADD8-C115D30CA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35087" cy="1492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2203174</xdr:colOff>
      <xdr:row>4</xdr:row>
      <xdr:rowOff>177916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FAE07D09-53B2-417D-83B7-6206E8BD3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03174" cy="14733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2435087</xdr:colOff>
      <xdr:row>4</xdr:row>
      <xdr:rowOff>196982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71C42EEB-3CA3-4702-A535-3AF606F12C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35087" cy="1492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2203174</xdr:colOff>
      <xdr:row>4</xdr:row>
      <xdr:rowOff>177916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A1ED203-C851-4F41-8020-CC664F05B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03174" cy="14733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2435087</xdr:colOff>
      <xdr:row>4</xdr:row>
      <xdr:rowOff>196982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4635EC3-E07E-43F9-A738-637690AC61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35087" cy="1492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2203174</xdr:colOff>
      <xdr:row>3</xdr:row>
      <xdr:rowOff>146587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5E3D8AA-AD12-4E75-996E-624AAEDB2A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03174" cy="1471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2327413</xdr:colOff>
      <xdr:row>3</xdr:row>
      <xdr:rowOff>190500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7B8DD122-B369-4CA2-9C7C-A6B8AE47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327413" cy="1515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7D274-B870-41A2-8A69-1C9F65E601D8}">
  <sheetPr codeName="Лист7"/>
  <dimension ref="A1:B6"/>
  <sheetViews>
    <sheetView workbookViewId="0">
      <selection activeCell="B6" sqref="B6"/>
    </sheetView>
  </sheetViews>
  <sheetFormatPr defaultRowHeight="15"/>
  <cols>
    <col min="1" max="1" width="49.42578125" customWidth="1"/>
    <col min="2" max="2" width="16.85546875" customWidth="1"/>
  </cols>
  <sheetData>
    <row r="1" spans="1:2">
      <c r="A1" s="32" t="s">
        <v>213</v>
      </c>
    </row>
    <row r="2" spans="1:2" ht="33" customHeight="1">
      <c r="A2" s="285" t="s">
        <v>214</v>
      </c>
      <c r="B2" t="s">
        <v>423</v>
      </c>
    </row>
    <row r="3" spans="1:2" ht="37.5" customHeight="1">
      <c r="A3" s="285" t="s">
        <v>215</v>
      </c>
      <c r="B3" t="s">
        <v>424</v>
      </c>
    </row>
    <row r="4" spans="1:2" ht="30">
      <c r="A4" s="285" t="s">
        <v>216</v>
      </c>
      <c r="B4" t="s">
        <v>425</v>
      </c>
    </row>
    <row r="5" spans="1:2" ht="30">
      <c r="A5" s="285" t="s">
        <v>333</v>
      </c>
      <c r="B5" t="s">
        <v>426</v>
      </c>
    </row>
    <row r="6" spans="1:2" ht="30">
      <c r="A6" s="285" t="s">
        <v>417</v>
      </c>
      <c r="B6" t="s">
        <v>427</v>
      </c>
    </row>
  </sheetData>
  <pageMargins left="0.7" right="0.7" top="0.75" bottom="0.75" header="0.3" footer="0.3"/>
  <pageSetup paperSize="9" orientation="portrait" blackAndWhite="1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Q4">
    <tabColor rgb="FFFF0000"/>
    <pageSetUpPr fitToPage="1"/>
  </sheetPr>
  <dimension ref="A1:O72"/>
  <sheetViews>
    <sheetView tabSelected="1" topLeftCell="A2" zoomScale="145" zoomScaleNormal="145" zoomScaleSheetLayoutView="130" zoomScalePageLayoutView="70" workbookViewId="0">
      <selection activeCell="C17" sqref="C17"/>
    </sheetView>
  </sheetViews>
  <sheetFormatPr defaultRowHeight="15"/>
  <cols>
    <col min="1" max="1" width="71.85546875" customWidth="1"/>
    <col min="2" max="2" width="25.7109375" customWidth="1"/>
    <col min="3" max="3" width="31.7109375" customWidth="1"/>
    <col min="4" max="4" width="9.85546875" hidden="1" customWidth="1"/>
    <col min="5" max="5" width="20.5703125" customWidth="1"/>
    <col min="6" max="6" width="23.7109375" customWidth="1"/>
    <col min="7" max="7" width="17" bestFit="1" customWidth="1"/>
    <col min="8" max="8" width="25.7109375" bestFit="1" customWidth="1"/>
  </cols>
  <sheetData>
    <row r="1" spans="1:15" ht="35.25" customHeight="1">
      <c r="A1" s="9"/>
      <c r="B1" s="332"/>
      <c r="C1" s="332"/>
      <c r="F1" s="281" t="s">
        <v>430</v>
      </c>
      <c r="O1" t="s">
        <v>225</v>
      </c>
    </row>
    <row r="2" spans="1:15" ht="15.75" customHeight="1">
      <c r="A2" s="9"/>
      <c r="B2" s="333" t="s">
        <v>0</v>
      </c>
      <c r="C2" s="333"/>
    </row>
    <row r="3" spans="1:15" ht="34.5" customHeight="1">
      <c r="A3" s="9"/>
      <c r="B3" s="333" t="s">
        <v>214</v>
      </c>
      <c r="C3" s="333"/>
      <c r="D3" s="336"/>
      <c r="E3" s="336"/>
      <c r="F3" s="336"/>
    </row>
    <row r="4" spans="1:15" ht="16.5" customHeight="1">
      <c r="A4" s="9"/>
      <c r="B4" s="36" t="s">
        <v>5</v>
      </c>
      <c r="C4" s="37">
        <f ca="1">TODAY()</f>
        <v>46211</v>
      </c>
      <c r="G4" s="276"/>
      <c r="H4" s="275"/>
    </row>
    <row r="5" spans="1:15" ht="17.25" customHeight="1">
      <c r="A5" s="9"/>
      <c r="B5" s="38"/>
      <c r="C5" s="36" t="s">
        <v>4</v>
      </c>
      <c r="G5" s="277"/>
      <c r="H5" s="275"/>
    </row>
    <row r="6" spans="1:15" ht="44.25" customHeight="1" thickBot="1">
      <c r="A6" s="334" t="s">
        <v>186</v>
      </c>
      <c r="B6" s="335"/>
      <c r="C6" s="335"/>
      <c r="E6" s="282"/>
      <c r="F6" s="280"/>
      <c r="G6" s="278"/>
      <c r="H6" s="275"/>
    </row>
    <row r="7" spans="1:15" ht="21.75" thickBot="1">
      <c r="A7" s="5" t="s">
        <v>2</v>
      </c>
      <c r="B7" s="6" t="s">
        <v>229</v>
      </c>
      <c r="C7" s="6" t="s">
        <v>230</v>
      </c>
      <c r="D7" s="329" t="s">
        <v>412</v>
      </c>
      <c r="E7" s="330"/>
      <c r="F7" s="331"/>
      <c r="G7" s="279"/>
      <c r="H7" s="275"/>
    </row>
    <row r="8" spans="1:15" ht="16.5" customHeight="1" thickBot="1">
      <c r="A8" s="1" t="s">
        <v>103</v>
      </c>
      <c r="B8" s="313"/>
      <c r="C8" s="89"/>
      <c r="D8" s="19"/>
      <c r="E8" s="452">
        <f t="shared" ref="E8:E10" si="0">B8+25</f>
        <v>25</v>
      </c>
      <c r="F8" s="453" t="s">
        <v>429</v>
      </c>
      <c r="G8" s="327"/>
      <c r="H8" s="327"/>
      <c r="I8" s="4"/>
    </row>
    <row r="9" spans="1:15" ht="16.5" customHeight="1" thickBot="1">
      <c r="A9" s="1" t="s">
        <v>106</v>
      </c>
      <c r="B9" s="314"/>
      <c r="C9" s="89"/>
      <c r="E9" s="452">
        <f t="shared" si="0"/>
        <v>25</v>
      </c>
      <c r="F9" s="316" t="s">
        <v>429</v>
      </c>
      <c r="G9" s="328"/>
      <c r="H9" s="328"/>
      <c r="I9" s="4"/>
    </row>
    <row r="10" spans="1:15" ht="16.5" customHeight="1" thickBot="1">
      <c r="A10" s="1" t="s">
        <v>117</v>
      </c>
      <c r="B10" s="313"/>
      <c r="C10" s="89"/>
      <c r="E10" s="315">
        <f t="shared" si="0"/>
        <v>25</v>
      </c>
      <c r="F10" s="316" t="s">
        <v>429</v>
      </c>
      <c r="G10" s="4"/>
      <c r="H10" s="4"/>
      <c r="I10" s="4"/>
    </row>
    <row r="11" spans="1:15" ht="16.5" customHeight="1" thickBot="1">
      <c r="A11" s="71" t="s">
        <v>234</v>
      </c>
      <c r="B11" s="289"/>
      <c r="C11" s="89"/>
      <c r="E11" s="315">
        <f>B11+4</f>
        <v>4</v>
      </c>
      <c r="F11" s="316" t="s">
        <v>429</v>
      </c>
      <c r="G11" s="4"/>
      <c r="H11" s="4"/>
      <c r="I11" s="4"/>
    </row>
    <row r="12" spans="1:15" ht="16.5" customHeight="1" thickBot="1">
      <c r="A12" s="147" t="s">
        <v>388</v>
      </c>
      <c r="B12" s="313"/>
      <c r="C12" s="89"/>
      <c r="E12" s="315">
        <f>B12+25</f>
        <v>25</v>
      </c>
      <c r="F12" s="316" t="s">
        <v>429</v>
      </c>
      <c r="G12" s="4"/>
      <c r="H12" s="4"/>
      <c r="I12" s="4"/>
    </row>
    <row r="13" spans="1:15" ht="16.5" customHeight="1" thickBot="1">
      <c r="A13" s="1" t="s">
        <v>123</v>
      </c>
      <c r="B13" s="313"/>
      <c r="C13" s="89"/>
      <c r="E13" s="315">
        <f>B13+3</f>
        <v>3</v>
      </c>
      <c r="F13" s="316" t="s">
        <v>429</v>
      </c>
      <c r="G13" s="275"/>
      <c r="H13" s="4"/>
      <c r="I13" s="4"/>
    </row>
    <row r="14" spans="1:15" ht="16.5" customHeight="1" thickBot="1">
      <c r="A14" s="1" t="s">
        <v>124</v>
      </c>
      <c r="B14" s="313"/>
      <c r="C14" s="89"/>
      <c r="E14" s="315">
        <f>B14+3</f>
        <v>3</v>
      </c>
      <c r="F14" s="316" t="s">
        <v>429</v>
      </c>
      <c r="G14" s="328"/>
      <c r="H14" s="328"/>
      <c r="I14" s="4"/>
    </row>
    <row r="15" spans="1:15" ht="16.5" customHeight="1" thickBot="1">
      <c r="A15" s="3" t="s">
        <v>210</v>
      </c>
      <c r="B15" s="313"/>
      <c r="C15" s="89"/>
      <c r="E15" s="315">
        <f t="shared" ref="E15:E22" si="1">B15+3</f>
        <v>3</v>
      </c>
      <c r="F15" s="316" t="s">
        <v>429</v>
      </c>
      <c r="G15" s="4"/>
      <c r="H15" s="4"/>
      <c r="I15" s="4"/>
    </row>
    <row r="16" spans="1:15" ht="16.5" customHeight="1" thickBot="1">
      <c r="A16" s="3" t="s">
        <v>209</v>
      </c>
      <c r="B16" s="313"/>
      <c r="C16" s="89"/>
      <c r="E16" s="315">
        <f t="shared" si="1"/>
        <v>3</v>
      </c>
      <c r="F16" s="316" t="s">
        <v>429</v>
      </c>
      <c r="G16" s="4"/>
      <c r="H16" s="4"/>
      <c r="I16" s="4"/>
    </row>
    <row r="17" spans="1:6" ht="16.5" customHeight="1" thickBot="1">
      <c r="A17" s="3" t="s">
        <v>127</v>
      </c>
      <c r="B17" s="313"/>
      <c r="C17" s="89"/>
      <c r="E17" s="315">
        <f t="shared" si="1"/>
        <v>3</v>
      </c>
      <c r="F17" s="316" t="s">
        <v>429</v>
      </c>
    </row>
    <row r="18" spans="1:6" ht="16.5" customHeight="1" thickBot="1">
      <c r="A18" s="1" t="s">
        <v>128</v>
      </c>
      <c r="B18" s="313"/>
      <c r="C18" s="89"/>
      <c r="E18" s="315">
        <f t="shared" si="1"/>
        <v>3</v>
      </c>
      <c r="F18" s="316" t="s">
        <v>429</v>
      </c>
    </row>
    <row r="19" spans="1:6" ht="16.5" customHeight="1" thickBot="1">
      <c r="A19" s="1" t="s">
        <v>308</v>
      </c>
      <c r="B19" s="313"/>
      <c r="C19" s="89"/>
      <c r="E19" s="315">
        <f t="shared" si="1"/>
        <v>3</v>
      </c>
      <c r="F19" s="316" t="s">
        <v>429</v>
      </c>
    </row>
    <row r="20" spans="1:6" ht="16.5" customHeight="1" thickBot="1">
      <c r="A20" s="16" t="s">
        <v>129</v>
      </c>
      <c r="B20" s="313"/>
      <c r="C20" s="89"/>
      <c r="E20" s="315">
        <f t="shared" si="1"/>
        <v>3</v>
      </c>
      <c r="F20" s="316" t="s">
        <v>429</v>
      </c>
    </row>
    <row r="21" spans="1:6" ht="16.5" customHeight="1" thickBot="1">
      <c r="A21" s="16" t="s">
        <v>176</v>
      </c>
      <c r="B21" s="313"/>
      <c r="C21" s="89"/>
      <c r="E21" s="315">
        <f t="shared" si="1"/>
        <v>3</v>
      </c>
      <c r="F21" s="316" t="s">
        <v>429</v>
      </c>
    </row>
    <row r="22" spans="1:6" ht="16.5" customHeight="1" thickBot="1">
      <c r="A22" s="3" t="s">
        <v>130</v>
      </c>
      <c r="B22" s="313"/>
      <c r="C22" s="89"/>
      <c r="E22" s="315">
        <f t="shared" si="1"/>
        <v>3</v>
      </c>
      <c r="F22" s="316" t="s">
        <v>429</v>
      </c>
    </row>
    <row r="23" spans="1:6" ht="16.5" customHeight="1" thickBot="1">
      <c r="A23" s="3" t="s">
        <v>179</v>
      </c>
      <c r="B23" s="311"/>
      <c r="C23" s="89"/>
      <c r="E23" s="315">
        <f>B23+3</f>
        <v>3</v>
      </c>
      <c r="F23" s="316" t="s">
        <v>429</v>
      </c>
    </row>
    <row r="24" spans="1:6" ht="16.5" customHeight="1" thickBot="1">
      <c r="A24" s="3" t="s">
        <v>131</v>
      </c>
      <c r="B24" s="313"/>
      <c r="C24" s="89"/>
      <c r="E24" s="315">
        <f>B24+3</f>
        <v>3</v>
      </c>
      <c r="F24" s="316" t="s">
        <v>429</v>
      </c>
    </row>
    <row r="25" spans="1:6" ht="16.5" customHeight="1" thickBot="1">
      <c r="A25" s="3" t="s">
        <v>180</v>
      </c>
      <c r="B25" s="313"/>
      <c r="C25" s="89"/>
      <c r="E25" s="315">
        <f>B25+4</f>
        <v>4</v>
      </c>
      <c r="F25" s="316" t="s">
        <v>429</v>
      </c>
    </row>
    <row r="26" spans="1:6" ht="16.5" customHeight="1" thickBot="1">
      <c r="A26" s="3" t="s">
        <v>181</v>
      </c>
      <c r="B26" s="313"/>
      <c r="C26" s="89"/>
      <c r="E26" s="315">
        <f>B26+4</f>
        <v>4</v>
      </c>
      <c r="F26" s="316" t="s">
        <v>429</v>
      </c>
    </row>
    <row r="27" spans="1:6" ht="16.5" customHeight="1" thickBot="1">
      <c r="A27" s="3" t="s">
        <v>132</v>
      </c>
      <c r="B27" s="313"/>
      <c r="C27" s="89"/>
      <c r="E27" s="315">
        <f>B27+3</f>
        <v>3</v>
      </c>
      <c r="F27" s="316" t="s">
        <v>429</v>
      </c>
    </row>
    <row r="28" spans="1:6" ht="16.5" customHeight="1" thickBot="1">
      <c r="A28" s="3" t="s">
        <v>133</v>
      </c>
      <c r="B28" s="311"/>
      <c r="C28" s="89"/>
      <c r="E28" s="315">
        <f>B28+4</f>
        <v>4</v>
      </c>
      <c r="F28" s="316" t="s">
        <v>429</v>
      </c>
    </row>
    <row r="29" spans="1:6" ht="16.5" customHeight="1" thickBot="1">
      <c r="A29" s="3" t="s">
        <v>134</v>
      </c>
      <c r="B29" s="313"/>
      <c r="C29" s="89"/>
      <c r="E29" s="315">
        <f>B29+3</f>
        <v>3</v>
      </c>
      <c r="F29" s="316" t="s">
        <v>429</v>
      </c>
    </row>
    <row r="30" spans="1:6" ht="16.5" customHeight="1" thickBot="1">
      <c r="A30" s="1" t="s">
        <v>136</v>
      </c>
      <c r="B30" s="310"/>
      <c r="C30" s="89"/>
      <c r="E30" s="315">
        <f>B30+25</f>
        <v>25</v>
      </c>
      <c r="F30" s="316" t="s">
        <v>429</v>
      </c>
    </row>
    <row r="31" spans="1:6" ht="16.5" customHeight="1" thickBot="1">
      <c r="A31" s="1" t="s">
        <v>231</v>
      </c>
      <c r="B31" s="308"/>
      <c r="C31" s="89"/>
      <c r="E31" s="315">
        <f>B31+25</f>
        <v>25</v>
      </c>
      <c r="F31" s="316" t="s">
        <v>429</v>
      </c>
    </row>
    <row r="32" spans="1:6" ht="16.5" customHeight="1" thickBot="1">
      <c r="A32" s="3" t="s">
        <v>138</v>
      </c>
      <c r="B32" s="317"/>
      <c r="C32" s="89"/>
      <c r="E32" s="315">
        <f>B32+3</f>
        <v>3</v>
      </c>
      <c r="F32" s="316" t="s">
        <v>429</v>
      </c>
    </row>
    <row r="33" spans="1:10" ht="16.5" customHeight="1" thickBot="1">
      <c r="A33" s="3" t="s">
        <v>144</v>
      </c>
      <c r="B33" s="318"/>
      <c r="C33" s="90"/>
      <c r="E33" s="315">
        <f t="shared" ref="E33:E40" si="2">B33+6</f>
        <v>6</v>
      </c>
      <c r="F33" s="316" t="s">
        <v>429</v>
      </c>
    </row>
    <row r="34" spans="1:10" ht="16.5" customHeight="1" thickBot="1">
      <c r="A34" s="3" t="s">
        <v>146</v>
      </c>
      <c r="B34" s="319"/>
      <c r="C34" s="89"/>
      <c r="E34" s="452">
        <f>B34+6</f>
        <v>6</v>
      </c>
      <c r="F34" s="316" t="s">
        <v>429</v>
      </c>
    </row>
    <row r="35" spans="1:10" ht="16.5" customHeight="1" thickBot="1">
      <c r="A35" s="3" t="s">
        <v>147</v>
      </c>
      <c r="B35" s="319"/>
      <c r="C35" s="90"/>
      <c r="E35" s="315">
        <f>B35+6</f>
        <v>6</v>
      </c>
      <c r="F35" s="316" t="s">
        <v>429</v>
      </c>
    </row>
    <row r="36" spans="1:10" ht="16.5" customHeight="1" thickBot="1">
      <c r="A36" s="3" t="s">
        <v>148</v>
      </c>
      <c r="B36" s="320"/>
      <c r="C36" s="90"/>
      <c r="E36" s="315">
        <f t="shared" si="2"/>
        <v>6</v>
      </c>
      <c r="F36" s="316" t="s">
        <v>429</v>
      </c>
    </row>
    <row r="37" spans="1:10" ht="16.5" customHeight="1" thickBot="1">
      <c r="A37" s="3" t="s">
        <v>150</v>
      </c>
      <c r="B37" s="319"/>
      <c r="C37" s="90"/>
      <c r="E37" s="315">
        <f t="shared" si="2"/>
        <v>6</v>
      </c>
      <c r="F37" s="316" t="s">
        <v>429</v>
      </c>
      <c r="J37" s="91"/>
    </row>
    <row r="38" spans="1:10" ht="16.5" customHeight="1" thickBot="1">
      <c r="A38" s="3" t="s">
        <v>152</v>
      </c>
      <c r="B38" s="319"/>
      <c r="C38" s="90"/>
      <c r="E38" s="315">
        <f t="shared" si="2"/>
        <v>6</v>
      </c>
      <c r="F38" s="316" t="s">
        <v>429</v>
      </c>
    </row>
    <row r="39" spans="1:10" ht="16.5" customHeight="1" thickBot="1">
      <c r="A39" s="3" t="s">
        <v>154</v>
      </c>
      <c r="B39" s="319"/>
      <c r="C39" s="90"/>
      <c r="E39" s="315">
        <f t="shared" si="2"/>
        <v>6</v>
      </c>
      <c r="F39" s="316" t="s">
        <v>429</v>
      </c>
    </row>
    <row r="40" spans="1:10" ht="16.5" customHeight="1" thickBot="1">
      <c r="A40" s="3" t="s">
        <v>156</v>
      </c>
      <c r="B40" s="319"/>
      <c r="C40" s="90"/>
      <c r="E40" s="315">
        <f t="shared" si="2"/>
        <v>6</v>
      </c>
      <c r="F40" s="316" t="s">
        <v>429</v>
      </c>
    </row>
    <row r="41" spans="1:10" ht="16.5" customHeight="1" thickBot="1">
      <c r="A41" s="3" t="s">
        <v>158</v>
      </c>
      <c r="B41" s="319"/>
      <c r="C41" s="90"/>
      <c r="E41" s="315">
        <f>B41+20</f>
        <v>20</v>
      </c>
      <c r="F41" s="316" t="s">
        <v>429</v>
      </c>
    </row>
    <row r="42" spans="1:10" ht="16.5" customHeight="1" thickBot="1">
      <c r="A42" s="3" t="s">
        <v>160</v>
      </c>
      <c r="B42" s="317"/>
      <c r="C42" s="90"/>
      <c r="E42" s="315">
        <f>B42+20</f>
        <v>20</v>
      </c>
      <c r="F42" s="316" t="s">
        <v>429</v>
      </c>
    </row>
    <row r="43" spans="1:10" ht="16.5" customHeight="1" thickBot="1">
      <c r="A43" s="3" t="s">
        <v>162</v>
      </c>
      <c r="B43" s="319"/>
      <c r="C43" s="90"/>
      <c r="E43" s="315">
        <f>B43+20</f>
        <v>20</v>
      </c>
      <c r="F43" s="316" t="s">
        <v>429</v>
      </c>
    </row>
    <row r="44" spans="1:10" ht="16.5" customHeight="1" thickBot="1">
      <c r="A44" s="3" t="s">
        <v>164</v>
      </c>
      <c r="B44" s="319"/>
      <c r="C44" s="90"/>
      <c r="E44" s="315">
        <f>B44+6</f>
        <v>6</v>
      </c>
      <c r="F44" s="316" t="s">
        <v>429</v>
      </c>
    </row>
    <row r="45" spans="1:10" ht="16.5" customHeight="1" thickBot="1">
      <c r="A45" s="3" t="s">
        <v>166</v>
      </c>
      <c r="B45" s="319"/>
      <c r="C45" s="90"/>
      <c r="E45" s="315">
        <f>B45+6</f>
        <v>6</v>
      </c>
      <c r="F45" s="316" t="s">
        <v>429</v>
      </c>
    </row>
    <row r="46" spans="1:10" ht="16.5" customHeight="1" thickBot="1">
      <c r="A46" s="3" t="s">
        <v>168</v>
      </c>
      <c r="B46" s="319"/>
      <c r="C46" s="90"/>
      <c r="E46" s="315">
        <f>B46+6</f>
        <v>6</v>
      </c>
      <c r="F46" s="316" t="s">
        <v>429</v>
      </c>
    </row>
    <row r="47" spans="1:10" ht="16.5" customHeight="1" thickBot="1">
      <c r="A47" s="3" t="s">
        <v>170</v>
      </c>
      <c r="B47" s="319"/>
      <c r="C47" s="90"/>
      <c r="E47" s="315">
        <f t="shared" ref="E47" si="3">B47+6</f>
        <v>6</v>
      </c>
      <c r="F47" s="316" t="s">
        <v>429</v>
      </c>
    </row>
    <row r="48" spans="1:10" ht="16.5" customHeight="1" thickBot="1">
      <c r="A48" s="3" t="s">
        <v>171</v>
      </c>
      <c r="B48" s="319"/>
      <c r="C48" s="90"/>
      <c r="E48" s="315">
        <f>B48+6</f>
        <v>6</v>
      </c>
      <c r="F48" s="316" t="s">
        <v>429</v>
      </c>
    </row>
    <row r="49" spans="1:6" ht="16.5" customHeight="1" thickBot="1">
      <c r="A49" s="3" t="s">
        <v>173</v>
      </c>
      <c r="B49" s="319"/>
      <c r="C49" s="90"/>
      <c r="E49" s="315">
        <f>B49+15</f>
        <v>15</v>
      </c>
      <c r="F49" s="316" t="s">
        <v>429</v>
      </c>
    </row>
    <row r="50" spans="1:6" ht="16.5" customHeight="1" thickBot="1">
      <c r="A50" s="3" t="s">
        <v>175</v>
      </c>
      <c r="B50" s="321"/>
      <c r="C50" s="90"/>
      <c r="E50" s="315">
        <f t="shared" ref="E50:E51" si="4">B50+6</f>
        <v>6</v>
      </c>
      <c r="F50" s="316" t="s">
        <v>429</v>
      </c>
    </row>
    <row r="51" spans="1:6" ht="16.5" customHeight="1" thickBot="1">
      <c r="A51" s="3" t="s">
        <v>223</v>
      </c>
      <c r="B51" s="319"/>
      <c r="C51" s="90"/>
      <c r="E51" s="315">
        <f t="shared" si="4"/>
        <v>6</v>
      </c>
      <c r="F51" s="316" t="s">
        <v>429</v>
      </c>
    </row>
    <row r="52" spans="1:6" ht="16.5" customHeight="1" thickBot="1">
      <c r="A52" s="3" t="s">
        <v>310</v>
      </c>
      <c r="B52" s="319"/>
      <c r="C52" s="90"/>
      <c r="E52" s="315">
        <f>B52+6</f>
        <v>6</v>
      </c>
      <c r="F52" s="316" t="s">
        <v>429</v>
      </c>
    </row>
    <row r="53" spans="1:6" ht="16.5" customHeight="1" thickBot="1">
      <c r="A53" s="3" t="s">
        <v>398</v>
      </c>
      <c r="B53" s="322"/>
      <c r="C53" s="90"/>
      <c r="E53" s="315">
        <f t="shared" ref="E53:E55" si="5">B53+6</f>
        <v>6</v>
      </c>
      <c r="F53" s="316" t="s">
        <v>429</v>
      </c>
    </row>
    <row r="54" spans="1:6" ht="16.5" customHeight="1" thickBot="1">
      <c r="A54" s="3" t="s">
        <v>401</v>
      </c>
      <c r="B54" s="323"/>
      <c r="C54" s="90"/>
      <c r="E54" s="315">
        <f t="shared" si="5"/>
        <v>6</v>
      </c>
      <c r="F54" s="316" t="s">
        <v>429</v>
      </c>
    </row>
    <row r="55" spans="1:6" ht="16.5" customHeight="1" thickBot="1">
      <c r="A55" s="3" t="s">
        <v>402</v>
      </c>
      <c r="B55" s="319"/>
      <c r="C55" s="90"/>
      <c r="E55" s="315">
        <f t="shared" si="5"/>
        <v>6</v>
      </c>
      <c r="F55" s="316" t="s">
        <v>429</v>
      </c>
    </row>
    <row r="56" spans="1:6" ht="16.5" customHeight="1" thickBot="1">
      <c r="A56" s="3" t="s">
        <v>421</v>
      </c>
      <c r="B56" s="319"/>
      <c r="C56" s="90"/>
      <c r="E56" s="315">
        <f t="shared" ref="E56:E57" si="6">B56+25</f>
        <v>25</v>
      </c>
      <c r="F56" s="316" t="s">
        <v>429</v>
      </c>
    </row>
    <row r="57" spans="1:6" ht="16.5" customHeight="1" thickBot="1">
      <c r="A57" s="3" t="s">
        <v>420</v>
      </c>
      <c r="B57" s="319"/>
      <c r="C57" s="90"/>
      <c r="E57" s="315">
        <f t="shared" si="6"/>
        <v>25</v>
      </c>
      <c r="F57" s="316" t="s">
        <v>429</v>
      </c>
    </row>
    <row r="58" spans="1:6" ht="16.5" customHeight="1" thickBot="1">
      <c r="A58" s="254" t="s">
        <v>418</v>
      </c>
      <c r="B58" s="324"/>
      <c r="C58" s="255"/>
      <c r="E58" s="315">
        <f>B58+30</f>
        <v>30</v>
      </c>
      <c r="F58" s="316" t="s">
        <v>429</v>
      </c>
    </row>
    <row r="59" spans="1:6" ht="16.5" customHeight="1" thickBot="1">
      <c r="A59" s="254" t="s">
        <v>419</v>
      </c>
      <c r="B59" s="325"/>
      <c r="C59" s="255"/>
      <c r="E59" s="315">
        <f>B59+30</f>
        <v>30</v>
      </c>
      <c r="F59" s="316" t="s">
        <v>429</v>
      </c>
    </row>
    <row r="60" spans="1:6" ht="16.5" customHeight="1" thickBot="1">
      <c r="A60" s="254" t="s">
        <v>309</v>
      </c>
      <c r="B60" s="290"/>
      <c r="C60" s="255"/>
      <c r="E60" s="315">
        <f>B60+3</f>
        <v>3</v>
      </c>
      <c r="F60" s="316" t="s">
        <v>429</v>
      </c>
    </row>
    <row r="61" spans="1:6" ht="16.5" customHeight="1" thickBot="1">
      <c r="A61" s="254" t="s">
        <v>380</v>
      </c>
      <c r="B61" s="312"/>
      <c r="C61" s="255"/>
      <c r="E61" s="315">
        <f>B61+20</f>
        <v>20</v>
      </c>
      <c r="F61" s="316" t="s">
        <v>429</v>
      </c>
    </row>
    <row r="62" spans="1:6" ht="16.5" customHeight="1" thickBot="1">
      <c r="A62" s="254" t="s">
        <v>381</v>
      </c>
      <c r="B62" s="309"/>
      <c r="C62" s="255"/>
      <c r="E62" s="315">
        <f t="shared" ref="E62:E72" si="7">B62+20</f>
        <v>20</v>
      </c>
      <c r="F62" s="316" t="s">
        <v>429</v>
      </c>
    </row>
    <row r="63" spans="1:6" ht="16.5" customHeight="1" thickBot="1">
      <c r="A63" s="254" t="s">
        <v>382</v>
      </c>
      <c r="B63" s="309"/>
      <c r="C63" s="255"/>
      <c r="E63" s="315">
        <f t="shared" si="7"/>
        <v>20</v>
      </c>
      <c r="F63" s="316" t="s">
        <v>429</v>
      </c>
    </row>
    <row r="64" spans="1:6" ht="16.5" customHeight="1" thickBot="1">
      <c r="A64" s="254" t="s">
        <v>235</v>
      </c>
      <c r="B64" s="326"/>
      <c r="C64" s="256"/>
      <c r="E64" s="315">
        <f t="shared" si="7"/>
        <v>20</v>
      </c>
      <c r="F64" s="316" t="s">
        <v>429</v>
      </c>
    </row>
    <row r="65" spans="1:6" ht="16.5" customHeight="1" thickBot="1">
      <c r="A65" s="254" t="s">
        <v>236</v>
      </c>
      <c r="B65" s="326"/>
      <c r="C65" s="257"/>
      <c r="E65" s="315">
        <f t="shared" si="7"/>
        <v>20</v>
      </c>
      <c r="F65" s="316" t="s">
        <v>429</v>
      </c>
    </row>
    <row r="66" spans="1:6" ht="16.5" customHeight="1" thickBot="1">
      <c r="A66" s="254" t="s">
        <v>237</v>
      </c>
      <c r="B66" s="326"/>
      <c r="C66" s="257"/>
      <c r="E66" s="315">
        <f t="shared" si="7"/>
        <v>20</v>
      </c>
      <c r="F66" s="316" t="s">
        <v>429</v>
      </c>
    </row>
    <row r="67" spans="1:6" ht="16.5" customHeight="1" thickBot="1">
      <c r="A67" s="254" t="s">
        <v>238</v>
      </c>
      <c r="B67" s="326"/>
      <c r="C67" s="257"/>
      <c r="E67" s="315">
        <f t="shared" si="7"/>
        <v>20</v>
      </c>
      <c r="F67" s="316" t="s">
        <v>429</v>
      </c>
    </row>
    <row r="68" spans="1:6" ht="16.5" customHeight="1" thickBot="1">
      <c r="A68" s="254" t="s">
        <v>239</v>
      </c>
      <c r="B68" s="326"/>
      <c r="C68" s="257"/>
      <c r="E68" s="315">
        <f t="shared" si="7"/>
        <v>20</v>
      </c>
      <c r="F68" s="316" t="s">
        <v>429</v>
      </c>
    </row>
    <row r="69" spans="1:6" ht="16.5" customHeight="1" thickBot="1">
      <c r="A69" s="254" t="s">
        <v>240</v>
      </c>
      <c r="B69" s="326"/>
      <c r="C69" s="257"/>
      <c r="E69" s="315">
        <f t="shared" si="7"/>
        <v>20</v>
      </c>
      <c r="F69" s="316" t="s">
        <v>429</v>
      </c>
    </row>
    <row r="70" spans="1:6" ht="16.5" customHeight="1" thickBot="1">
      <c r="A70" s="254" t="s">
        <v>241</v>
      </c>
      <c r="B70" s="326"/>
      <c r="C70" s="257"/>
      <c r="E70" s="315">
        <f t="shared" si="7"/>
        <v>20</v>
      </c>
      <c r="F70" s="316" t="s">
        <v>429</v>
      </c>
    </row>
    <row r="71" spans="1:6" ht="16.5" customHeight="1" thickBot="1">
      <c r="A71" s="254" t="s">
        <v>242</v>
      </c>
      <c r="B71" s="326"/>
      <c r="C71" s="257"/>
      <c r="E71" s="315">
        <f t="shared" si="7"/>
        <v>20</v>
      </c>
      <c r="F71" s="316" t="s">
        <v>429</v>
      </c>
    </row>
    <row r="72" spans="1:6" ht="16.5" customHeight="1" thickBot="1">
      <c r="A72" s="254" t="s">
        <v>243</v>
      </c>
      <c r="B72" s="326"/>
      <c r="C72" s="257"/>
      <c r="E72" s="315">
        <f t="shared" si="7"/>
        <v>20</v>
      </c>
      <c r="F72" s="316" t="s">
        <v>429</v>
      </c>
    </row>
  </sheetData>
  <mergeCells count="9">
    <mergeCell ref="G8:H8"/>
    <mergeCell ref="G14:H14"/>
    <mergeCell ref="D7:F7"/>
    <mergeCell ref="B1:C1"/>
    <mergeCell ref="B2:C2"/>
    <mergeCell ref="B3:C3"/>
    <mergeCell ref="A6:C6"/>
    <mergeCell ref="D3:F3"/>
    <mergeCell ref="G9:H9"/>
  </mergeCells>
  <printOptions horizontalCentered="1"/>
  <pageMargins left="0" right="0" top="0" bottom="0" header="0" footer="0"/>
  <pageSetup paperSize="9" scale="78" orientation="portrait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Q1">
    <pageSetUpPr fitToPage="1"/>
  </sheetPr>
  <dimension ref="A1:F127"/>
  <sheetViews>
    <sheetView view="pageBreakPreview" zoomScale="130" zoomScaleNormal="100" zoomScaleSheetLayoutView="130" workbookViewId="0">
      <selection activeCell="A36" sqref="A36"/>
    </sheetView>
  </sheetViews>
  <sheetFormatPr defaultRowHeight="15"/>
  <cols>
    <col min="1" max="1" width="78.42578125" customWidth="1"/>
    <col min="2" max="2" width="28.5703125" customWidth="1"/>
    <col min="3" max="3" width="31.140625" customWidth="1"/>
    <col min="4" max="4" width="4.7109375" customWidth="1"/>
  </cols>
  <sheetData>
    <row r="1" spans="1:6" ht="45" customHeight="1">
      <c r="A1" s="9"/>
      <c r="B1" s="337"/>
      <c r="C1" s="337"/>
      <c r="F1" s="281" t="s">
        <v>428</v>
      </c>
    </row>
    <row r="2" spans="1:6" ht="15.75" customHeight="1">
      <c r="A2" s="9"/>
      <c r="B2" s="338" t="s">
        <v>0</v>
      </c>
      <c r="C2" s="338"/>
    </row>
    <row r="3" spans="1:6" ht="39" customHeight="1">
      <c r="A3" s="9"/>
      <c r="B3" s="338" t="str">
        <f>'Тека ГП'!B3:C3</f>
        <v>Начальник мясного цеха 
Пискунов.А.А</v>
      </c>
      <c r="C3" s="338"/>
    </row>
    <row r="4" spans="1:6" ht="18.75" customHeight="1">
      <c r="A4" s="9"/>
      <c r="B4" s="11" t="s">
        <v>3</v>
      </c>
      <c r="C4" s="17">
        <f ca="1">'Тека ГП'!$C$4</f>
        <v>46211</v>
      </c>
    </row>
    <row r="5" spans="1:6" ht="18.75" customHeight="1">
      <c r="A5" s="9"/>
      <c r="B5" s="10"/>
      <c r="C5" s="18" t="s">
        <v>4</v>
      </c>
    </row>
    <row r="6" spans="1:6" ht="65.099999999999994" customHeight="1">
      <c r="A6" s="334" t="s">
        <v>186</v>
      </c>
      <c r="B6" s="335"/>
      <c r="C6" s="335"/>
      <c r="F6" s="280"/>
    </row>
    <row r="7" spans="1:6" ht="21">
      <c r="A7" s="5" t="s">
        <v>1</v>
      </c>
      <c r="B7" s="6" t="s">
        <v>6</v>
      </c>
      <c r="C7" s="6" t="s">
        <v>7</v>
      </c>
      <c r="F7" s="280"/>
    </row>
    <row r="8" spans="1:6" ht="12" customHeight="1">
      <c r="A8" s="2" t="s">
        <v>10</v>
      </c>
      <c r="B8" s="7">
        <f ca="1">'Тека ГП'!$C$4</f>
        <v>46211</v>
      </c>
      <c r="C8" s="8">
        <v>0.33333333333333331</v>
      </c>
      <c r="E8" s="280"/>
      <c r="F8" s="280"/>
    </row>
    <row r="9" spans="1:6" ht="12" customHeight="1">
      <c r="A9" s="2" t="s">
        <v>11</v>
      </c>
      <c r="B9" s="7">
        <f ca="1">'Тека ГП'!$C$4</f>
        <v>46211</v>
      </c>
      <c r="C9" s="8">
        <v>0.33333333333333331</v>
      </c>
      <c r="F9" s="280"/>
    </row>
    <row r="10" spans="1:6" ht="12" customHeight="1">
      <c r="A10" s="2" t="s">
        <v>12</v>
      </c>
      <c r="B10" s="7">
        <f ca="1">'Тека ГП'!$C$4</f>
        <v>46211</v>
      </c>
      <c r="C10" s="8">
        <v>0.33333333333333331</v>
      </c>
      <c r="F10" s="280"/>
    </row>
    <row r="11" spans="1:6" ht="12" customHeight="1">
      <c r="A11" s="2" t="s">
        <v>13</v>
      </c>
      <c r="B11" s="7">
        <f ca="1">'Тека ГП'!$C$4</f>
        <v>46211</v>
      </c>
      <c r="C11" s="8">
        <v>0.33333333333333331</v>
      </c>
      <c r="F11" s="280"/>
    </row>
    <row r="12" spans="1:6" ht="12" customHeight="1">
      <c r="A12" s="2" t="s">
        <v>14</v>
      </c>
      <c r="B12" s="7">
        <f ca="1">'Тека ГП'!$C$4</f>
        <v>46211</v>
      </c>
      <c r="C12" s="8">
        <v>0.33333333333333331</v>
      </c>
      <c r="F12" s="280"/>
    </row>
    <row r="13" spans="1:6" ht="12" customHeight="1">
      <c r="A13" s="2" t="s">
        <v>15</v>
      </c>
      <c r="B13" s="7">
        <f ca="1">'Тека ГП'!$C$4</f>
        <v>46211</v>
      </c>
      <c r="C13" s="8">
        <v>0.33333333333333331</v>
      </c>
      <c r="F13" s="280"/>
    </row>
    <row r="14" spans="1:6" ht="12" customHeight="1">
      <c r="A14" s="2" t="s">
        <v>16</v>
      </c>
      <c r="B14" s="7">
        <f ca="1">'Тека ГП'!$C$4</f>
        <v>46211</v>
      </c>
      <c r="C14" s="8">
        <v>0.33333333333333331</v>
      </c>
      <c r="F14" s="280"/>
    </row>
    <row r="15" spans="1:6" ht="12" customHeight="1">
      <c r="A15" s="2" t="s">
        <v>17</v>
      </c>
      <c r="B15" s="7">
        <f ca="1">'Тека ГП'!$C$4</f>
        <v>46211</v>
      </c>
      <c r="C15" s="8">
        <v>0.33333333333333331</v>
      </c>
      <c r="F15" s="280"/>
    </row>
    <row r="16" spans="1:6" ht="12" customHeight="1">
      <c r="A16" s="2" t="s">
        <v>18</v>
      </c>
      <c r="B16" s="7">
        <f ca="1">'Тека ГП'!$C$4</f>
        <v>46211</v>
      </c>
      <c r="C16" s="8">
        <v>0.33333333333333331</v>
      </c>
      <c r="F16" s="280"/>
    </row>
    <row r="17" spans="1:6" ht="12" customHeight="1">
      <c r="A17" s="2" t="s">
        <v>19</v>
      </c>
      <c r="B17" s="7">
        <f ca="1">'Тека ГП'!$C$4</f>
        <v>46211</v>
      </c>
      <c r="C17" s="8">
        <v>0.33333333333333331</v>
      </c>
      <c r="F17" s="280"/>
    </row>
    <row r="18" spans="1:6" ht="12" customHeight="1">
      <c r="A18" s="2" t="s">
        <v>20</v>
      </c>
      <c r="B18" s="7">
        <f ca="1">'Тека ГП'!$C$4</f>
        <v>46211</v>
      </c>
      <c r="C18" s="8">
        <v>0.33333333333333331</v>
      </c>
      <c r="F18" s="280"/>
    </row>
    <row r="19" spans="1:6" ht="12" customHeight="1">
      <c r="A19" s="2" t="s">
        <v>21</v>
      </c>
      <c r="B19" s="7">
        <f ca="1">'Тека ГП'!$C$4</f>
        <v>46211</v>
      </c>
      <c r="C19" s="8">
        <v>0.33333333333333331</v>
      </c>
      <c r="F19" s="280"/>
    </row>
    <row r="20" spans="1:6" ht="12" customHeight="1">
      <c r="A20" s="2" t="s">
        <v>22</v>
      </c>
      <c r="B20" s="7">
        <f ca="1">'Тека ГП'!$C$4</f>
        <v>46211</v>
      </c>
      <c r="C20" s="8">
        <v>0.33333333333333331</v>
      </c>
      <c r="F20" s="280"/>
    </row>
    <row r="21" spans="1:6" ht="12" customHeight="1">
      <c r="A21" s="2" t="s">
        <v>23</v>
      </c>
      <c r="B21" s="7">
        <f ca="1">'Тека ГП'!$C$4</f>
        <v>46211</v>
      </c>
      <c r="C21" s="8">
        <v>0.33333333333333331</v>
      </c>
      <c r="F21" s="280"/>
    </row>
    <row r="22" spans="1:6" ht="12" customHeight="1">
      <c r="A22" s="2" t="s">
        <v>24</v>
      </c>
      <c r="B22" s="7">
        <f ca="1">'Тека ГП'!$C$4</f>
        <v>46211</v>
      </c>
      <c r="C22" s="8">
        <v>0.33333333333333331</v>
      </c>
      <c r="F22" s="280"/>
    </row>
    <row r="23" spans="1:6" ht="12" customHeight="1">
      <c r="A23" s="2" t="s">
        <v>25</v>
      </c>
      <c r="B23" s="7">
        <f ca="1">'Тека ГП'!$C$4</f>
        <v>46211</v>
      </c>
      <c r="C23" s="8">
        <v>0.33333333333333331</v>
      </c>
      <c r="F23" s="280"/>
    </row>
    <row r="24" spans="1:6" ht="12" customHeight="1">
      <c r="A24" s="2" t="s">
        <v>26</v>
      </c>
      <c r="B24" s="7">
        <f ca="1">'Тека ГП'!$C$4</f>
        <v>46211</v>
      </c>
      <c r="C24" s="8">
        <v>0.33333333333333331</v>
      </c>
      <c r="F24" s="280"/>
    </row>
    <row r="25" spans="1:6" ht="12" customHeight="1">
      <c r="A25" s="2" t="s">
        <v>27</v>
      </c>
      <c r="B25" s="7">
        <f ca="1">'Тека ГП'!$C$4</f>
        <v>46211</v>
      </c>
      <c r="C25" s="8">
        <v>0.33333333333333331</v>
      </c>
      <c r="F25" s="280"/>
    </row>
    <row r="26" spans="1:6" ht="12" customHeight="1">
      <c r="A26" s="2" t="s">
        <v>28</v>
      </c>
      <c r="B26" s="7">
        <f ca="1">'Тека ГП'!$C$4</f>
        <v>46211</v>
      </c>
      <c r="C26" s="8">
        <v>0.33333333333333331</v>
      </c>
      <c r="F26" s="280"/>
    </row>
    <row r="27" spans="1:6" ht="12" customHeight="1">
      <c r="A27" s="2" t="s">
        <v>29</v>
      </c>
      <c r="B27" s="7">
        <f ca="1">'Тека ГП'!$C$4</f>
        <v>46211</v>
      </c>
      <c r="C27" s="8">
        <v>0.33333333333333331</v>
      </c>
      <c r="F27" s="280"/>
    </row>
    <row r="28" spans="1:6" ht="12" customHeight="1">
      <c r="A28" s="2" t="s">
        <v>30</v>
      </c>
      <c r="B28" s="7">
        <f ca="1">'Тека ГП'!$C$4</f>
        <v>46211</v>
      </c>
      <c r="C28" s="8">
        <v>0.33333333333333331</v>
      </c>
      <c r="F28" s="280"/>
    </row>
    <row r="29" spans="1:6" ht="12" customHeight="1">
      <c r="A29" s="2" t="s">
        <v>31</v>
      </c>
      <c r="B29" s="7">
        <f ca="1">'Тека ГП'!$C$4</f>
        <v>46211</v>
      </c>
      <c r="C29" s="8">
        <v>0.33333333333333331</v>
      </c>
      <c r="F29" s="280"/>
    </row>
    <row r="30" spans="1:6" ht="12" customHeight="1">
      <c r="A30" s="2" t="s">
        <v>32</v>
      </c>
      <c r="B30" s="7">
        <f ca="1">'Тека ГП'!$C$4</f>
        <v>46211</v>
      </c>
      <c r="C30" s="8">
        <v>0.33333333333333331</v>
      </c>
      <c r="F30" s="280"/>
    </row>
    <row r="31" spans="1:6" ht="12" customHeight="1">
      <c r="A31" s="2" t="s">
        <v>33</v>
      </c>
      <c r="B31" s="7">
        <f ca="1">'Тека ГП'!$C$4</f>
        <v>46211</v>
      </c>
      <c r="C31" s="8">
        <v>0.33333333333333331</v>
      </c>
      <c r="F31" s="280"/>
    </row>
    <row r="32" spans="1:6" ht="12" customHeight="1">
      <c r="A32" s="2" t="s">
        <v>34</v>
      </c>
      <c r="B32" s="7">
        <f ca="1">'Тека ГП'!$C$4</f>
        <v>46211</v>
      </c>
      <c r="C32" s="8">
        <v>0.33333333333333331</v>
      </c>
      <c r="F32" s="280"/>
    </row>
    <row r="33" spans="1:6" ht="12" customHeight="1">
      <c r="A33" s="2" t="s">
        <v>35</v>
      </c>
      <c r="B33" s="7">
        <f ca="1">'Тека ГП'!$C$4</f>
        <v>46211</v>
      </c>
      <c r="C33" s="8">
        <v>0.33333333333333331</v>
      </c>
      <c r="F33" s="280"/>
    </row>
    <row r="34" spans="1:6" ht="12" customHeight="1">
      <c r="A34" s="2" t="s">
        <v>36</v>
      </c>
      <c r="B34" s="7">
        <f ca="1">'Тека ГП'!$C$4</f>
        <v>46211</v>
      </c>
      <c r="C34" s="8">
        <v>0.33333333333333331</v>
      </c>
      <c r="F34" s="280"/>
    </row>
    <row r="35" spans="1:6" ht="12" customHeight="1">
      <c r="A35" s="2" t="s">
        <v>37</v>
      </c>
      <c r="B35" s="7">
        <f ca="1">'Тека ГП'!$C$4</f>
        <v>46211</v>
      </c>
      <c r="C35" s="8">
        <v>0.33333333333333331</v>
      </c>
      <c r="F35" s="280"/>
    </row>
    <row r="36" spans="1:6" ht="12" customHeight="1">
      <c r="A36" s="2" t="s">
        <v>38</v>
      </c>
      <c r="B36" s="7">
        <f ca="1">'Тека ГП'!$C$4</f>
        <v>46211</v>
      </c>
      <c r="C36" s="8">
        <v>0.33333333333333331</v>
      </c>
      <c r="F36" s="280"/>
    </row>
    <row r="37" spans="1:6" ht="12" customHeight="1">
      <c r="A37" s="2" t="s">
        <v>39</v>
      </c>
      <c r="B37" s="7">
        <f ca="1">'Тека ГП'!$C$4</f>
        <v>46211</v>
      </c>
      <c r="C37" s="8">
        <v>0.33333333333333331</v>
      </c>
      <c r="F37" s="280"/>
    </row>
    <row r="38" spans="1:6" ht="12" customHeight="1">
      <c r="A38" s="2" t="s">
        <v>40</v>
      </c>
      <c r="B38" s="7">
        <f ca="1">'Тека ГП'!$C$4</f>
        <v>46211</v>
      </c>
      <c r="C38" s="8">
        <v>0.33333333333333331</v>
      </c>
      <c r="F38" s="280"/>
    </row>
    <row r="39" spans="1:6" ht="12" customHeight="1">
      <c r="A39" s="2" t="s">
        <v>41</v>
      </c>
      <c r="B39" s="7">
        <f ca="1">'Тека ГП'!$C$4</f>
        <v>46211</v>
      </c>
      <c r="C39" s="8">
        <v>0.33333333333333331</v>
      </c>
      <c r="F39" s="280"/>
    </row>
    <row r="40" spans="1:6" ht="12" customHeight="1">
      <c r="A40" s="2" t="s">
        <v>42</v>
      </c>
      <c r="B40" s="7">
        <f ca="1">'Тека ГП'!$C$4</f>
        <v>46211</v>
      </c>
      <c r="C40" s="8">
        <v>0.33333333333333331</v>
      </c>
      <c r="F40" s="280"/>
    </row>
    <row r="41" spans="1:6" ht="12" customHeight="1">
      <c r="A41" s="2" t="s">
        <v>43</v>
      </c>
      <c r="B41" s="7">
        <f ca="1">'Тека ГП'!$C$4</f>
        <v>46211</v>
      </c>
      <c r="C41" s="8">
        <v>0.33333333333333331</v>
      </c>
      <c r="F41" s="280"/>
    </row>
    <row r="42" spans="1:6" ht="12" customHeight="1">
      <c r="A42" s="2" t="s">
        <v>44</v>
      </c>
      <c r="B42" s="7">
        <f ca="1">'Тека ГП'!$C$4</f>
        <v>46211</v>
      </c>
      <c r="C42" s="8">
        <v>0.33333333333333331</v>
      </c>
      <c r="F42" s="280"/>
    </row>
    <row r="43" spans="1:6" ht="12" customHeight="1">
      <c r="A43" s="2" t="s">
        <v>45</v>
      </c>
      <c r="B43" s="7">
        <f ca="1">'Тека ГП'!$C$4</f>
        <v>46211</v>
      </c>
      <c r="C43" s="8">
        <v>0.33333333333333331</v>
      </c>
      <c r="F43" s="280"/>
    </row>
    <row r="44" spans="1:6" ht="12" customHeight="1">
      <c r="A44" s="2" t="s">
        <v>335</v>
      </c>
      <c r="B44" s="7">
        <f ca="1">'Тека ГП'!$C$4</f>
        <v>46211</v>
      </c>
      <c r="C44" s="8">
        <v>0.33333333333333331</v>
      </c>
      <c r="F44" s="280"/>
    </row>
    <row r="45" spans="1:6" ht="12" customHeight="1">
      <c r="A45" s="2" t="s">
        <v>336</v>
      </c>
      <c r="B45" s="7">
        <f ca="1">'Тека ГП'!$C$4</f>
        <v>46211</v>
      </c>
      <c r="C45" s="8">
        <v>0.33333333333333331</v>
      </c>
      <c r="F45" s="280"/>
    </row>
    <row r="46" spans="1:6" ht="12" customHeight="1">
      <c r="A46" s="2" t="s">
        <v>337</v>
      </c>
      <c r="B46" s="7">
        <f ca="1">'Тека ГП'!$C$4</f>
        <v>46211</v>
      </c>
      <c r="C46" s="8">
        <v>0.33333333333333331</v>
      </c>
      <c r="F46" s="280"/>
    </row>
    <row r="47" spans="1:6" ht="12" customHeight="1">
      <c r="A47" s="2" t="s">
        <v>46</v>
      </c>
      <c r="B47" s="7">
        <f ca="1">'Тека ГП'!$C$4</f>
        <v>46211</v>
      </c>
      <c r="C47" s="8">
        <v>0.33333333333333331</v>
      </c>
      <c r="F47" s="280"/>
    </row>
    <row r="48" spans="1:6" ht="12" customHeight="1">
      <c r="A48" s="2" t="s">
        <v>187</v>
      </c>
      <c r="B48" s="7">
        <f ca="1">'Тека ГП'!$C$4</f>
        <v>46211</v>
      </c>
      <c r="C48" s="8">
        <v>0.33333333333333331</v>
      </c>
      <c r="F48" s="280"/>
    </row>
    <row r="49" spans="1:6" ht="12" hidden="1" customHeight="1">
      <c r="A49" s="2" t="s">
        <v>47</v>
      </c>
      <c r="B49" s="7">
        <f ca="1">'Тека ГП'!$C$4</f>
        <v>46211</v>
      </c>
      <c r="C49" s="8">
        <v>0.33333333333333331</v>
      </c>
      <c r="F49" s="280"/>
    </row>
    <row r="50" spans="1:6" ht="12" hidden="1" customHeight="1">
      <c r="A50" s="2" t="s">
        <v>48</v>
      </c>
      <c r="B50" s="7">
        <f ca="1">'Тека ГП'!$C$4</f>
        <v>46211</v>
      </c>
      <c r="C50" s="8">
        <v>0.33333333333333331</v>
      </c>
      <c r="F50" s="280"/>
    </row>
    <row r="51" spans="1:6" ht="12" hidden="1" customHeight="1">
      <c r="A51" s="2" t="s">
        <v>49</v>
      </c>
      <c r="B51" s="7">
        <f ca="1">'Тека ГП'!$C$4</f>
        <v>46211</v>
      </c>
      <c r="C51" s="8">
        <v>0.33333333333333331</v>
      </c>
      <c r="F51" s="280"/>
    </row>
    <row r="52" spans="1:6" ht="12" hidden="1" customHeight="1">
      <c r="A52" s="2" t="s">
        <v>50</v>
      </c>
      <c r="B52" s="7">
        <f ca="1">'Тека ГП'!$C$4</f>
        <v>46211</v>
      </c>
      <c r="C52" s="8">
        <v>0.33333333333333331</v>
      </c>
      <c r="F52" s="280"/>
    </row>
    <row r="53" spans="1:6" ht="12" hidden="1" customHeight="1">
      <c r="A53" s="2" t="s">
        <v>51</v>
      </c>
      <c r="B53" s="7">
        <f ca="1">'Тека ГП'!$C$4</f>
        <v>46211</v>
      </c>
      <c r="C53" s="8">
        <v>0.33333333333333331</v>
      </c>
      <c r="F53" s="280"/>
    </row>
    <row r="54" spans="1:6" ht="12" hidden="1" customHeight="1">
      <c r="A54" s="2" t="s">
        <v>52</v>
      </c>
      <c r="B54" s="7">
        <f ca="1">'Тека ГП'!$C$4</f>
        <v>46211</v>
      </c>
      <c r="C54" s="8">
        <v>0.33333333333333331</v>
      </c>
      <c r="F54" s="280"/>
    </row>
    <row r="55" spans="1:6" ht="12" hidden="1" customHeight="1">
      <c r="A55" s="2" t="s">
        <v>53</v>
      </c>
      <c r="B55" s="7">
        <f ca="1">'Тека ГП'!$C$4</f>
        <v>46211</v>
      </c>
      <c r="C55" s="8">
        <v>0.33333333333333331</v>
      </c>
      <c r="F55" s="280"/>
    </row>
    <row r="56" spans="1:6" ht="12" hidden="1" customHeight="1">
      <c r="A56" s="2" t="s">
        <v>54</v>
      </c>
      <c r="B56" s="7">
        <f ca="1">'Тека ГП'!$C$4</f>
        <v>46211</v>
      </c>
      <c r="C56" s="8">
        <v>0.33333333333333331</v>
      </c>
      <c r="F56" s="280"/>
    </row>
    <row r="57" spans="1:6" ht="12" hidden="1" customHeight="1">
      <c r="A57" s="2" t="s">
        <v>55</v>
      </c>
      <c r="B57" s="7">
        <f ca="1">'Тека ГП'!$C$4</f>
        <v>46211</v>
      </c>
      <c r="C57" s="8">
        <v>0.33333333333333331</v>
      </c>
      <c r="F57" s="280"/>
    </row>
    <row r="58" spans="1:6" ht="12" hidden="1" customHeight="1">
      <c r="A58" s="2" t="s">
        <v>56</v>
      </c>
      <c r="B58" s="7">
        <f ca="1">'Тека ГП'!$C$4</f>
        <v>46211</v>
      </c>
      <c r="C58" s="8">
        <v>0.33333333333333331</v>
      </c>
      <c r="F58" s="280"/>
    </row>
    <row r="59" spans="1:6" ht="12" hidden="1" customHeight="1">
      <c r="A59" s="2" t="s">
        <v>57</v>
      </c>
      <c r="B59" s="7">
        <f ca="1">'Тека ГП'!$C$4</f>
        <v>46211</v>
      </c>
      <c r="C59" s="8">
        <v>0.33333333333333331</v>
      </c>
      <c r="F59" s="280"/>
    </row>
    <row r="60" spans="1:6" ht="12" hidden="1" customHeight="1">
      <c r="A60" s="2" t="s">
        <v>58</v>
      </c>
      <c r="B60" s="7">
        <f ca="1">'Тека ГП'!$C$4</f>
        <v>46211</v>
      </c>
      <c r="C60" s="8">
        <v>0.33333333333333331</v>
      </c>
      <c r="F60" s="280"/>
    </row>
    <row r="61" spans="1:6" ht="12" hidden="1" customHeight="1">
      <c r="A61" s="2" t="s">
        <v>59</v>
      </c>
      <c r="B61" s="7">
        <f ca="1">'Тека ГП'!$C$4</f>
        <v>46211</v>
      </c>
      <c r="C61" s="8">
        <v>0.33333333333333331</v>
      </c>
      <c r="F61" s="280"/>
    </row>
    <row r="62" spans="1:6" ht="12" hidden="1" customHeight="1">
      <c r="A62" s="2" t="s">
        <v>60</v>
      </c>
      <c r="B62" s="7">
        <f ca="1">'Тека ГП'!$C$4</f>
        <v>46211</v>
      </c>
      <c r="C62" s="8">
        <v>0.33333333333333331</v>
      </c>
      <c r="F62" s="280"/>
    </row>
    <row r="63" spans="1:6" ht="12" hidden="1" customHeight="1">
      <c r="A63" s="2" t="s">
        <v>61</v>
      </c>
      <c r="B63" s="7">
        <f ca="1">'Тека ГП'!$C$4</f>
        <v>46211</v>
      </c>
      <c r="C63" s="8">
        <v>0.33333333333333331</v>
      </c>
      <c r="F63" s="280"/>
    </row>
    <row r="64" spans="1:6" ht="12" customHeight="1">
      <c r="A64" s="2" t="s">
        <v>62</v>
      </c>
      <c r="B64" s="7">
        <f ca="1">'Тека ГП'!$C$4</f>
        <v>46211</v>
      </c>
      <c r="C64" s="8">
        <v>0.33333333333333331</v>
      </c>
      <c r="F64" s="280"/>
    </row>
    <row r="65" spans="1:6" ht="12" customHeight="1">
      <c r="A65" s="2" t="s">
        <v>63</v>
      </c>
      <c r="B65" s="7">
        <f ca="1">'Тека ГП'!$C$4</f>
        <v>46211</v>
      </c>
      <c r="C65" s="8">
        <v>0.33333333333333331</v>
      </c>
      <c r="F65" s="280"/>
    </row>
    <row r="66" spans="1:6" ht="12" customHeight="1">
      <c r="A66" s="2" t="s">
        <v>64</v>
      </c>
      <c r="B66" s="7">
        <f ca="1">'Тека ГП'!$C$4</f>
        <v>46211</v>
      </c>
      <c r="C66" s="8">
        <v>0.33333333333333331</v>
      </c>
      <c r="F66" s="280"/>
    </row>
    <row r="67" spans="1:6" ht="12" customHeight="1">
      <c r="A67" s="2" t="s">
        <v>65</v>
      </c>
      <c r="B67" s="7">
        <f ca="1">'Тека ГП'!$C$4</f>
        <v>46211</v>
      </c>
      <c r="C67" s="8">
        <v>0.33333333333333331</v>
      </c>
      <c r="F67" s="280"/>
    </row>
    <row r="68" spans="1:6" ht="12" customHeight="1">
      <c r="A68" s="2" t="s">
        <v>66</v>
      </c>
      <c r="B68" s="7">
        <f ca="1">'Тека ГП'!$C$4</f>
        <v>46211</v>
      </c>
      <c r="C68" s="8">
        <v>0.33333333333333331</v>
      </c>
      <c r="F68" s="280"/>
    </row>
    <row r="69" spans="1:6" ht="12" customHeight="1">
      <c r="A69" s="2" t="s">
        <v>67</v>
      </c>
      <c r="B69" s="7">
        <f ca="1">'Тека ГП'!$C$4</f>
        <v>46211</v>
      </c>
      <c r="C69" s="8">
        <v>0.33333333333333331</v>
      </c>
      <c r="F69" s="280"/>
    </row>
    <row r="70" spans="1:6" ht="12" customHeight="1">
      <c r="A70" s="2" t="s">
        <v>68</v>
      </c>
      <c r="B70" s="7">
        <f ca="1">'Тека ГП'!$C$4</f>
        <v>46211</v>
      </c>
      <c r="C70" s="8">
        <v>0.33333333333333331</v>
      </c>
      <c r="F70" s="280"/>
    </row>
    <row r="71" spans="1:6" ht="12" customHeight="1">
      <c r="A71" s="2" t="s">
        <v>69</v>
      </c>
      <c r="B71" s="7">
        <f ca="1">'Тека ГП'!$C$4</f>
        <v>46211</v>
      </c>
      <c r="C71" s="8">
        <v>0.33333333333333331</v>
      </c>
      <c r="F71" s="280"/>
    </row>
    <row r="72" spans="1:6" ht="12" customHeight="1">
      <c r="A72" s="2" t="s">
        <v>70</v>
      </c>
      <c r="B72" s="7">
        <f ca="1">'Тека ГП'!$C$4</f>
        <v>46211</v>
      </c>
      <c r="C72" s="8">
        <v>0.33333333333333331</v>
      </c>
      <c r="F72" s="280"/>
    </row>
    <row r="73" spans="1:6" ht="12" customHeight="1">
      <c r="A73" s="2" t="s">
        <v>71</v>
      </c>
      <c r="B73" s="7">
        <f ca="1">'Тека ГП'!$C$4</f>
        <v>46211</v>
      </c>
      <c r="C73" s="8">
        <v>0.33333333333333331</v>
      </c>
      <c r="F73" s="280"/>
    </row>
    <row r="74" spans="1:6" ht="12" customHeight="1">
      <c r="A74" s="2" t="s">
        <v>72</v>
      </c>
      <c r="B74" s="7">
        <f ca="1">'Тека ГП'!$C$4</f>
        <v>46211</v>
      </c>
      <c r="C74" s="8">
        <v>0.33333333333333331</v>
      </c>
      <c r="F74" s="280"/>
    </row>
    <row r="75" spans="1:6" ht="12" customHeight="1">
      <c r="A75" s="2" t="s">
        <v>73</v>
      </c>
      <c r="B75" s="7">
        <f ca="1">'Тека ГП'!$C$4</f>
        <v>46211</v>
      </c>
      <c r="C75" s="8">
        <v>0.33333333333333331</v>
      </c>
      <c r="F75" s="280"/>
    </row>
    <row r="76" spans="1:6" ht="12" customHeight="1">
      <c r="A76" s="2" t="s">
        <v>47</v>
      </c>
      <c r="B76" s="7">
        <f ca="1">'Тека ГП'!$C$4</f>
        <v>46211</v>
      </c>
      <c r="C76" s="8">
        <v>0.33333333333333331</v>
      </c>
      <c r="F76" s="280"/>
    </row>
    <row r="77" spans="1:6" ht="12" customHeight="1">
      <c r="A77" s="2" t="s">
        <v>48</v>
      </c>
      <c r="B77" s="7">
        <f ca="1">'Тека ГП'!$C$4</f>
        <v>46211</v>
      </c>
      <c r="C77" s="8">
        <v>0.33333333333333331</v>
      </c>
      <c r="F77" s="280"/>
    </row>
    <row r="78" spans="1:6" ht="12" customHeight="1">
      <c r="A78" s="2" t="s">
        <v>49</v>
      </c>
      <c r="B78" s="7">
        <f ca="1">'Тека ГП'!$C$4</f>
        <v>46211</v>
      </c>
      <c r="C78" s="8">
        <v>0.33333333333333331</v>
      </c>
      <c r="F78" s="280"/>
    </row>
    <row r="79" spans="1:6" ht="12" customHeight="1">
      <c r="A79" s="2" t="s">
        <v>50</v>
      </c>
      <c r="B79" s="7">
        <f ca="1">'Тека ГП'!$C$4</f>
        <v>46211</v>
      </c>
      <c r="C79" s="8">
        <v>0.33333333333333331</v>
      </c>
      <c r="F79" s="280"/>
    </row>
    <row r="80" spans="1:6" ht="12" customHeight="1">
      <c r="A80" s="2" t="s">
        <v>51</v>
      </c>
      <c r="B80" s="7">
        <f ca="1">'Тека ГП'!$C$4</f>
        <v>46211</v>
      </c>
      <c r="C80" s="8">
        <v>0.33333333333333331</v>
      </c>
      <c r="F80" s="280"/>
    </row>
    <row r="81" spans="1:6" ht="12" customHeight="1">
      <c r="A81" s="2" t="s">
        <v>52</v>
      </c>
      <c r="B81" s="7">
        <f ca="1">'Тека ГП'!$C$4</f>
        <v>46211</v>
      </c>
      <c r="C81" s="8">
        <v>0.33333333333333331</v>
      </c>
      <c r="F81" s="280"/>
    </row>
    <row r="82" spans="1:6" ht="12" customHeight="1">
      <c r="A82" s="2" t="s">
        <v>53</v>
      </c>
      <c r="B82" s="7">
        <f ca="1">'Тека ГП'!$C$4</f>
        <v>46211</v>
      </c>
      <c r="C82" s="8">
        <v>0.33333333333333331</v>
      </c>
      <c r="F82" s="280"/>
    </row>
    <row r="83" spans="1:6" ht="12" customHeight="1">
      <c r="A83" s="2" t="s">
        <v>54</v>
      </c>
      <c r="B83" s="7">
        <f ca="1">'Тека ГП'!$C$4</f>
        <v>46211</v>
      </c>
      <c r="C83" s="8">
        <v>0.33333333333333331</v>
      </c>
      <c r="F83" s="280"/>
    </row>
    <row r="84" spans="1:6" ht="12" customHeight="1">
      <c r="A84" s="2" t="s">
        <v>338</v>
      </c>
      <c r="B84" s="7">
        <f ca="1">'Тека ГП'!$C$4</f>
        <v>46211</v>
      </c>
      <c r="C84" s="8">
        <v>0.33333333333333331</v>
      </c>
      <c r="F84" s="280"/>
    </row>
    <row r="85" spans="1:6" ht="12" customHeight="1">
      <c r="A85" s="2" t="s">
        <v>55</v>
      </c>
      <c r="B85" s="7">
        <f ca="1">'Тека ГП'!$C$4</f>
        <v>46211</v>
      </c>
      <c r="C85" s="8">
        <v>0.33333333333333331</v>
      </c>
      <c r="F85" s="280"/>
    </row>
    <row r="86" spans="1:6" ht="12" customHeight="1">
      <c r="A86" s="2" t="s">
        <v>56</v>
      </c>
      <c r="B86" s="7">
        <f ca="1">'Тека ГП'!$C$4</f>
        <v>46211</v>
      </c>
      <c r="C86" s="8">
        <v>0.33333333333333331</v>
      </c>
      <c r="F86" s="280"/>
    </row>
    <row r="87" spans="1:6" ht="12" customHeight="1">
      <c r="A87" s="2" t="s">
        <v>57</v>
      </c>
      <c r="B87" s="7">
        <f ca="1">'Тека ГП'!$C$4</f>
        <v>46211</v>
      </c>
      <c r="C87" s="8">
        <v>0.33333333333333331</v>
      </c>
      <c r="F87" s="280"/>
    </row>
    <row r="88" spans="1:6" ht="12" customHeight="1">
      <c r="A88" s="2" t="s">
        <v>58</v>
      </c>
      <c r="B88" s="7">
        <f ca="1">'Тека ГП'!$C$4</f>
        <v>46211</v>
      </c>
      <c r="C88" s="8">
        <v>0.33333333333333331</v>
      </c>
      <c r="F88" s="280"/>
    </row>
    <row r="89" spans="1:6" ht="12" customHeight="1">
      <c r="A89" s="2" t="s">
        <v>59</v>
      </c>
      <c r="B89" s="7">
        <f ca="1">'Тека ГП'!$C$4</f>
        <v>46211</v>
      </c>
      <c r="C89" s="8">
        <v>0.33333333333333331</v>
      </c>
      <c r="F89" s="280"/>
    </row>
    <row r="90" spans="1:6" ht="12" customHeight="1">
      <c r="A90" s="2" t="s">
        <v>60</v>
      </c>
      <c r="B90" s="7">
        <f ca="1">'Тека ГП'!$C$4</f>
        <v>46211</v>
      </c>
      <c r="C90" s="8">
        <v>0.33333333333333331</v>
      </c>
      <c r="F90" s="280"/>
    </row>
    <row r="91" spans="1:6" ht="12" customHeight="1">
      <c r="A91" s="2" t="s">
        <v>61</v>
      </c>
      <c r="B91" s="7">
        <f ca="1">'Тека ГП'!$C$4</f>
        <v>46211</v>
      </c>
      <c r="C91" s="8">
        <v>0.33333333333333331</v>
      </c>
      <c r="F91" s="280"/>
    </row>
    <row r="92" spans="1:6" ht="12" customHeight="1">
      <c r="A92" s="2" t="s">
        <v>74</v>
      </c>
      <c r="B92" s="7">
        <f ca="1">'Тека ГП'!$C$4</f>
        <v>46211</v>
      </c>
      <c r="C92" s="8">
        <v>0.33333333333333331</v>
      </c>
      <c r="F92" s="280"/>
    </row>
    <row r="93" spans="1:6" ht="12" customHeight="1">
      <c r="A93" s="2" t="s">
        <v>75</v>
      </c>
      <c r="B93" s="7">
        <f ca="1">'Тека ГП'!$C$4</f>
        <v>46211</v>
      </c>
      <c r="C93" s="8">
        <v>0.33333333333333331</v>
      </c>
      <c r="F93" s="280"/>
    </row>
    <row r="94" spans="1:6" ht="12" customHeight="1">
      <c r="A94" s="2" t="s">
        <v>76</v>
      </c>
      <c r="B94" s="7">
        <f ca="1">'Тека ГП'!$C$4</f>
        <v>46211</v>
      </c>
      <c r="C94" s="8">
        <v>0.33333333333333331</v>
      </c>
      <c r="F94" s="280"/>
    </row>
    <row r="95" spans="1:6" ht="12" customHeight="1">
      <c r="A95" s="2" t="s">
        <v>77</v>
      </c>
      <c r="B95" s="7">
        <f ca="1">'Тека ГП'!$C$4</f>
        <v>46211</v>
      </c>
      <c r="C95" s="8">
        <v>0.33333333333333331</v>
      </c>
      <c r="F95" s="280"/>
    </row>
    <row r="96" spans="1:6" ht="12" customHeight="1">
      <c r="A96" s="2" t="s">
        <v>78</v>
      </c>
      <c r="B96" s="7">
        <f ca="1">'Тека ГП'!$C$4</f>
        <v>46211</v>
      </c>
      <c r="C96" s="8">
        <v>0.33333333333333331</v>
      </c>
      <c r="F96" s="280"/>
    </row>
    <row r="97" spans="1:6" ht="12" customHeight="1">
      <c r="A97" s="2" t="s">
        <v>79</v>
      </c>
      <c r="B97" s="7">
        <f ca="1">'Тека ГП'!$C$4</f>
        <v>46211</v>
      </c>
      <c r="C97" s="8">
        <v>0.33333333333333331</v>
      </c>
      <c r="F97" s="280"/>
    </row>
    <row r="98" spans="1:6" ht="12" customHeight="1">
      <c r="A98" s="2" t="s">
        <v>80</v>
      </c>
      <c r="B98" s="7">
        <f ca="1">'Тека ГП'!$C$4</f>
        <v>46211</v>
      </c>
      <c r="C98" s="8">
        <v>0.33333333333333331</v>
      </c>
      <c r="F98" s="280"/>
    </row>
    <row r="99" spans="1:6" ht="12" customHeight="1">
      <c r="A99" s="2" t="s">
        <v>81</v>
      </c>
      <c r="B99" s="7">
        <f ca="1">'Тека ГП'!$C$4</f>
        <v>46211</v>
      </c>
      <c r="C99" s="8">
        <v>0.33333333333333331</v>
      </c>
      <c r="F99" s="280"/>
    </row>
    <row r="100" spans="1:6" ht="12" customHeight="1">
      <c r="A100" s="2" t="s">
        <v>82</v>
      </c>
      <c r="B100" s="7">
        <f ca="1">'Тека ГП'!$C$4</f>
        <v>46211</v>
      </c>
      <c r="C100" s="8">
        <v>0.33333333333333331</v>
      </c>
      <c r="F100" s="280"/>
    </row>
    <row r="101" spans="1:6" ht="12" customHeight="1">
      <c r="A101" s="2" t="s">
        <v>83</v>
      </c>
      <c r="B101" s="7">
        <f ca="1">'Тека ГП'!$C$4</f>
        <v>46211</v>
      </c>
      <c r="C101" s="8">
        <v>0.33333333333333331</v>
      </c>
    </row>
    <row r="102" spans="1:6" ht="12" customHeight="1">
      <c r="A102" s="2" t="s">
        <v>84</v>
      </c>
      <c r="B102" s="7">
        <f ca="1">'Тека ГП'!$C$4</f>
        <v>46211</v>
      </c>
      <c r="C102" s="8">
        <v>0.33333333333333331</v>
      </c>
    </row>
    <row r="103" spans="1:6" ht="12" customHeight="1">
      <c r="A103" s="2" t="s">
        <v>85</v>
      </c>
      <c r="B103" s="7">
        <f ca="1">'Тека ГП'!$C$4</f>
        <v>46211</v>
      </c>
      <c r="C103" s="8">
        <v>0.33333333333333331</v>
      </c>
    </row>
    <row r="104" spans="1:6" ht="12" customHeight="1">
      <c r="A104" s="2" t="s">
        <v>334</v>
      </c>
      <c r="B104" s="7">
        <f ca="1">'Тека ГП'!$C$4</f>
        <v>46211</v>
      </c>
      <c r="C104" s="8">
        <v>0.33333333333333331</v>
      </c>
    </row>
    <row r="105" spans="1:6" ht="12" customHeight="1">
      <c r="A105" s="2" t="s">
        <v>339</v>
      </c>
      <c r="B105" s="7">
        <f ca="1">'Тека ГП'!$C$4</f>
        <v>46211</v>
      </c>
      <c r="C105" s="8">
        <v>0.33333333333333331</v>
      </c>
    </row>
    <row r="106" spans="1:6" ht="12" customHeight="1">
      <c r="A106" s="2" t="s">
        <v>86</v>
      </c>
      <c r="B106" s="7">
        <f ca="1">'Тека ГП'!$C$4</f>
        <v>46211</v>
      </c>
      <c r="C106" s="8">
        <v>0.33333333333333331</v>
      </c>
    </row>
    <row r="107" spans="1:6" ht="12" customHeight="1">
      <c r="A107" s="2" t="s">
        <v>87</v>
      </c>
      <c r="B107" s="7">
        <f ca="1">'Тека ГП'!$C$4</f>
        <v>46211</v>
      </c>
      <c r="C107" s="8">
        <v>0.33333333333333331</v>
      </c>
    </row>
    <row r="108" spans="1:6" ht="12" customHeight="1">
      <c r="A108" s="2" t="s">
        <v>88</v>
      </c>
      <c r="B108" s="7">
        <f ca="1">'Тека ГП'!$C$4</f>
        <v>46211</v>
      </c>
      <c r="C108" s="8">
        <v>0.33333333333333331</v>
      </c>
    </row>
    <row r="109" spans="1:6" ht="12" customHeight="1">
      <c r="A109" s="2" t="s">
        <v>89</v>
      </c>
      <c r="B109" s="7">
        <f ca="1">'Тека ГП'!$C$4</f>
        <v>46211</v>
      </c>
      <c r="C109" s="8">
        <v>0.33333333333333331</v>
      </c>
    </row>
    <row r="110" spans="1:6" ht="12" customHeight="1">
      <c r="A110" s="2" t="s">
        <v>90</v>
      </c>
      <c r="B110" s="7">
        <f ca="1">'Тека ГП'!$C$4</f>
        <v>46211</v>
      </c>
      <c r="C110" s="8">
        <v>0.33333333333333331</v>
      </c>
    </row>
    <row r="111" spans="1:6" ht="12" customHeight="1">
      <c r="A111" s="2" t="s">
        <v>91</v>
      </c>
      <c r="B111" s="7">
        <f ca="1">'Тека ГП'!$C$4</f>
        <v>46211</v>
      </c>
      <c r="C111" s="8">
        <v>0.33333333333333331</v>
      </c>
    </row>
    <row r="112" spans="1:6" ht="12" customHeight="1">
      <c r="A112" s="2" t="s">
        <v>92</v>
      </c>
      <c r="B112" s="7">
        <f ca="1">'Тека ГП'!$C$4</f>
        <v>46211</v>
      </c>
      <c r="C112" s="8">
        <v>0.33333333333333331</v>
      </c>
    </row>
    <row r="113" spans="1:3" ht="12" customHeight="1">
      <c r="A113" s="2" t="s">
        <v>93</v>
      </c>
      <c r="B113" s="7">
        <f ca="1">'Тека ГП'!$C$4</f>
        <v>46211</v>
      </c>
      <c r="C113" s="8">
        <v>0.33333333333333331</v>
      </c>
    </row>
    <row r="114" spans="1:3" ht="12" customHeight="1">
      <c r="A114" s="2" t="s">
        <v>94</v>
      </c>
      <c r="B114" s="7">
        <f ca="1">'Тека ГП'!$C$4</f>
        <v>46211</v>
      </c>
      <c r="C114" s="8">
        <v>0.33333333333333331</v>
      </c>
    </row>
    <row r="115" spans="1:3" ht="12" customHeight="1">
      <c r="A115" s="2" t="s">
        <v>95</v>
      </c>
      <c r="B115" s="7">
        <f ca="1">'Тека ГП'!$C$4</f>
        <v>46211</v>
      </c>
      <c r="C115" s="8">
        <v>0.33333333333333331</v>
      </c>
    </row>
    <row r="116" spans="1:3" ht="12" customHeight="1">
      <c r="A116" s="2" t="s">
        <v>96</v>
      </c>
      <c r="B116" s="7">
        <f ca="1">'Тека ГП'!$C$4</f>
        <v>46211</v>
      </c>
      <c r="C116" s="8">
        <v>0.33333333333333331</v>
      </c>
    </row>
    <row r="117" spans="1:3" ht="12" customHeight="1">
      <c r="A117" s="2" t="s">
        <v>97</v>
      </c>
      <c r="B117" s="7">
        <f ca="1">'Тека ГП'!$C$4</f>
        <v>46211</v>
      </c>
      <c r="C117" s="8">
        <v>0.33333333333333331</v>
      </c>
    </row>
    <row r="118" spans="1:3" ht="12" customHeight="1">
      <c r="A118" s="2" t="s">
        <v>98</v>
      </c>
      <c r="B118" s="7">
        <f ca="1">'Тека ГП'!$C$4</f>
        <v>46211</v>
      </c>
      <c r="C118" s="8">
        <v>0.33333333333333331</v>
      </c>
    </row>
    <row r="119" spans="1:3" ht="12" customHeight="1">
      <c r="A119" s="2" t="s">
        <v>198</v>
      </c>
      <c r="B119" s="7">
        <f ca="1">'Тека ГП'!$C$4</f>
        <v>46211</v>
      </c>
      <c r="C119" s="8">
        <v>0.33333333333333331</v>
      </c>
    </row>
    <row r="120" spans="1:3" ht="12" customHeight="1">
      <c r="A120" s="2" t="s">
        <v>99</v>
      </c>
      <c r="B120" s="7">
        <f ca="1">'Тека ГП'!$C$4</f>
        <v>46211</v>
      </c>
      <c r="C120" s="8">
        <v>0.33333333333333331</v>
      </c>
    </row>
    <row r="121" spans="1:3" ht="12" customHeight="1">
      <c r="A121" s="2" t="s">
        <v>100</v>
      </c>
      <c r="B121" s="7">
        <f ca="1">'Тека ГП'!$C$4</f>
        <v>46211</v>
      </c>
      <c r="C121" s="8">
        <v>0.33333333333333331</v>
      </c>
    </row>
    <row r="122" spans="1:3" ht="12" customHeight="1">
      <c r="A122" s="2" t="s">
        <v>101</v>
      </c>
      <c r="B122" s="7">
        <f ca="1">'Тека ГП'!$C$4</f>
        <v>46211</v>
      </c>
      <c r="C122" s="8">
        <v>0.33333333333333331</v>
      </c>
    </row>
    <row r="123" spans="1:3" ht="12" customHeight="1">
      <c r="A123" s="2" t="s">
        <v>102</v>
      </c>
      <c r="B123" s="7">
        <f ca="1">'Тека ГП'!$C$4</f>
        <v>46211</v>
      </c>
      <c r="C123" s="8">
        <v>0.33333333333333331</v>
      </c>
    </row>
    <row r="124" spans="1:3" ht="12" customHeight="1">
      <c r="A124" s="2" t="s">
        <v>190</v>
      </c>
      <c r="B124" s="7">
        <f ca="1">'Тека ГП'!$C$4</f>
        <v>46211</v>
      </c>
      <c r="C124" s="8">
        <v>0.33333333333333331</v>
      </c>
    </row>
    <row r="125" spans="1:3" ht="12" customHeight="1">
      <c r="A125" s="2" t="s">
        <v>188</v>
      </c>
      <c r="B125" s="7">
        <f ca="1">'Тека ГП'!$C$4</f>
        <v>46211</v>
      </c>
      <c r="C125" s="8">
        <v>0.33333333333333331</v>
      </c>
    </row>
    <row r="126" spans="1:3" ht="12" customHeight="1">
      <c r="A126" s="2" t="s">
        <v>189</v>
      </c>
      <c r="B126" s="7">
        <f ca="1">'Тека ГП'!$C$4</f>
        <v>46211</v>
      </c>
      <c r="C126" s="8">
        <v>0.33333333333333331</v>
      </c>
    </row>
    <row r="127" spans="1:3" ht="12" hidden="1" customHeight="1">
      <c r="A127" s="2"/>
      <c r="B127" s="7">
        <f ca="1">'Тека ГП'!$C$4</f>
        <v>46211</v>
      </c>
      <c r="C127" s="8">
        <v>0.33333333333333331</v>
      </c>
    </row>
  </sheetData>
  <mergeCells count="4">
    <mergeCell ref="B1:C1"/>
    <mergeCell ref="B2:C2"/>
    <mergeCell ref="B3:C3"/>
    <mergeCell ref="A6:C6"/>
  </mergeCells>
  <printOptions horizontalCentered="1"/>
  <pageMargins left="0" right="0" top="0" bottom="0" header="0" footer="0"/>
  <pageSetup paperSize="9" scale="59" orientation="portrait" blackAndWhite="1" r:id="rId1"/>
  <rowBreaks count="1" manualBreakCount="1">
    <brk id="53" max="2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172E2-ABB2-4B1C-BCD4-8969A8271E02}">
  <sheetPr codeName="Q2">
    <pageSetUpPr fitToPage="1"/>
  </sheetPr>
  <dimension ref="A1:C127"/>
  <sheetViews>
    <sheetView view="pageBreakPreview" zoomScale="145" zoomScaleNormal="100" zoomScaleSheetLayoutView="145" workbookViewId="0">
      <selection activeCell="C132" sqref="C131:C132"/>
    </sheetView>
  </sheetViews>
  <sheetFormatPr defaultRowHeight="15"/>
  <cols>
    <col min="1" max="1" width="78.42578125" customWidth="1"/>
    <col min="2" max="2" width="28.5703125" customWidth="1"/>
    <col min="3" max="3" width="31.140625" customWidth="1"/>
    <col min="4" max="4" width="4.7109375" customWidth="1"/>
  </cols>
  <sheetData>
    <row r="1" spans="1:3" ht="45" customHeight="1">
      <c r="A1" s="9"/>
      <c r="B1" s="337"/>
      <c r="C1" s="337"/>
    </row>
    <row r="2" spans="1:3" ht="15.75" customHeight="1">
      <c r="A2" s="9"/>
      <c r="B2" s="338" t="s">
        <v>0</v>
      </c>
      <c r="C2" s="338"/>
    </row>
    <row r="3" spans="1:3" ht="39" customHeight="1">
      <c r="A3" s="9"/>
      <c r="B3" s="338" t="str">
        <f>'Тека ГП'!B3:C3</f>
        <v>Начальник мясного цеха 
Пискунов.А.А</v>
      </c>
      <c r="C3" s="338"/>
    </row>
    <row r="4" spans="1:3" ht="18.75" customHeight="1">
      <c r="A4" s="9"/>
      <c r="B4" s="11" t="s">
        <v>3</v>
      </c>
      <c r="C4" s="17">
        <f ca="1">'Тека ГП'!$C$4</f>
        <v>46211</v>
      </c>
    </row>
    <row r="5" spans="1:3" ht="18.75" customHeight="1">
      <c r="A5" s="9"/>
      <c r="B5" s="10"/>
      <c r="C5" s="18" t="s">
        <v>4</v>
      </c>
    </row>
    <row r="6" spans="1:3" ht="65.099999999999994" customHeight="1">
      <c r="A6" s="334" t="s">
        <v>186</v>
      </c>
      <c r="B6" s="335"/>
      <c r="C6" s="335"/>
    </row>
    <row r="7" spans="1:3" ht="21">
      <c r="A7" s="5" t="s">
        <v>1</v>
      </c>
      <c r="B7" s="6" t="s">
        <v>6</v>
      </c>
      <c r="C7" s="6" t="s">
        <v>7</v>
      </c>
    </row>
    <row r="8" spans="1:3" ht="12" customHeight="1">
      <c r="A8" s="2" t="s">
        <v>10</v>
      </c>
      <c r="B8" s="7">
        <f ca="1">'Тека ГП'!$C$4</f>
        <v>46211</v>
      </c>
      <c r="C8" s="8">
        <v>0.54166666666666663</v>
      </c>
    </row>
    <row r="9" spans="1:3" ht="12" customHeight="1">
      <c r="A9" s="2" t="s">
        <v>11</v>
      </c>
      <c r="B9" s="7">
        <f ca="1">'Тека ГП'!$C$4</f>
        <v>46211</v>
      </c>
      <c r="C9" s="8">
        <v>0.54166666666666663</v>
      </c>
    </row>
    <row r="10" spans="1:3" ht="12" customHeight="1">
      <c r="A10" s="2" t="s">
        <v>12</v>
      </c>
      <c r="B10" s="7">
        <f ca="1">'Тека ГП'!$C$4</f>
        <v>46211</v>
      </c>
      <c r="C10" s="8">
        <v>0.54166666666666663</v>
      </c>
    </row>
    <row r="11" spans="1:3" ht="12" customHeight="1">
      <c r="A11" s="2" t="s">
        <v>13</v>
      </c>
      <c r="B11" s="7">
        <f ca="1">'Тека ГП'!$C$4</f>
        <v>46211</v>
      </c>
      <c r="C11" s="8">
        <v>0.54166666666666663</v>
      </c>
    </row>
    <row r="12" spans="1:3" ht="12" customHeight="1">
      <c r="A12" s="2" t="s">
        <v>14</v>
      </c>
      <c r="B12" s="7">
        <f ca="1">'Тека ГП'!$C$4</f>
        <v>46211</v>
      </c>
      <c r="C12" s="8">
        <v>0.54166666666666663</v>
      </c>
    </row>
    <row r="13" spans="1:3" ht="12" customHeight="1">
      <c r="A13" s="2" t="s">
        <v>15</v>
      </c>
      <c r="B13" s="7">
        <f ca="1">'Тека ГП'!$C$4</f>
        <v>46211</v>
      </c>
      <c r="C13" s="8">
        <v>0.54166666666666663</v>
      </c>
    </row>
    <row r="14" spans="1:3" ht="12" customHeight="1">
      <c r="A14" s="2" t="s">
        <v>16</v>
      </c>
      <c r="B14" s="7">
        <f ca="1">'Тека ГП'!$C$4</f>
        <v>46211</v>
      </c>
      <c r="C14" s="8">
        <v>0.54166666666666663</v>
      </c>
    </row>
    <row r="15" spans="1:3" ht="12" customHeight="1">
      <c r="A15" s="2" t="s">
        <v>17</v>
      </c>
      <c r="B15" s="7">
        <f ca="1">'Тека ГП'!$C$4</f>
        <v>46211</v>
      </c>
      <c r="C15" s="8">
        <v>0.54166666666666663</v>
      </c>
    </row>
    <row r="16" spans="1:3" ht="12" customHeight="1">
      <c r="A16" s="2" t="s">
        <v>18</v>
      </c>
      <c r="B16" s="7">
        <f ca="1">'Тека ГП'!$C$4</f>
        <v>46211</v>
      </c>
      <c r="C16" s="8">
        <v>0.54166666666666663</v>
      </c>
    </row>
    <row r="17" spans="1:3" ht="12" customHeight="1">
      <c r="A17" s="2" t="s">
        <v>19</v>
      </c>
      <c r="B17" s="7">
        <f ca="1">'Тека ГП'!$C$4</f>
        <v>46211</v>
      </c>
      <c r="C17" s="8">
        <v>0.54166666666666663</v>
      </c>
    </row>
    <row r="18" spans="1:3" ht="12" customHeight="1">
      <c r="A18" s="2" t="s">
        <v>20</v>
      </c>
      <c r="B18" s="7">
        <f ca="1">'Тека ГП'!$C$4</f>
        <v>46211</v>
      </c>
      <c r="C18" s="8">
        <v>0.54166666666666663</v>
      </c>
    </row>
    <row r="19" spans="1:3" ht="12" customHeight="1">
      <c r="A19" s="2" t="s">
        <v>21</v>
      </c>
      <c r="B19" s="7">
        <f ca="1">'Тека ГП'!$C$4</f>
        <v>46211</v>
      </c>
      <c r="C19" s="8">
        <v>0.54166666666666663</v>
      </c>
    </row>
    <row r="20" spans="1:3" ht="12" customHeight="1">
      <c r="A20" s="2" t="s">
        <v>22</v>
      </c>
      <c r="B20" s="7">
        <f ca="1">'Тека ГП'!$C$4</f>
        <v>46211</v>
      </c>
      <c r="C20" s="8">
        <v>0.54166666666666663</v>
      </c>
    </row>
    <row r="21" spans="1:3" ht="12" customHeight="1">
      <c r="A21" s="2" t="s">
        <v>23</v>
      </c>
      <c r="B21" s="7">
        <f ca="1">'Тека ГП'!$C$4</f>
        <v>46211</v>
      </c>
      <c r="C21" s="8">
        <v>0.54166666666666663</v>
      </c>
    </row>
    <row r="22" spans="1:3" ht="12" customHeight="1">
      <c r="A22" s="2" t="s">
        <v>24</v>
      </c>
      <c r="B22" s="7">
        <f ca="1">'Тека ГП'!$C$4</f>
        <v>46211</v>
      </c>
      <c r="C22" s="8">
        <v>0.54166666666666663</v>
      </c>
    </row>
    <row r="23" spans="1:3" ht="12" customHeight="1">
      <c r="A23" s="2" t="s">
        <v>25</v>
      </c>
      <c r="B23" s="7">
        <f ca="1">'Тека ГП'!$C$4</f>
        <v>46211</v>
      </c>
      <c r="C23" s="8">
        <v>0.54166666666666663</v>
      </c>
    </row>
    <row r="24" spans="1:3" ht="12" customHeight="1">
      <c r="A24" s="2" t="s">
        <v>26</v>
      </c>
      <c r="B24" s="7">
        <f ca="1">'Тека ГП'!$C$4</f>
        <v>46211</v>
      </c>
      <c r="C24" s="8">
        <v>0.54166666666666663</v>
      </c>
    </row>
    <row r="25" spans="1:3" ht="12" customHeight="1">
      <c r="A25" s="2" t="s">
        <v>27</v>
      </c>
      <c r="B25" s="7">
        <f ca="1">'Тека ГП'!$C$4</f>
        <v>46211</v>
      </c>
      <c r="C25" s="8">
        <v>0.54166666666666663</v>
      </c>
    </row>
    <row r="26" spans="1:3" ht="12" customHeight="1">
      <c r="A26" s="2" t="s">
        <v>28</v>
      </c>
      <c r="B26" s="7">
        <f ca="1">'Тека ГП'!$C$4</f>
        <v>46211</v>
      </c>
      <c r="C26" s="8">
        <v>0.54166666666666663</v>
      </c>
    </row>
    <row r="27" spans="1:3" ht="12" customHeight="1">
      <c r="A27" s="2" t="s">
        <v>29</v>
      </c>
      <c r="B27" s="7">
        <f ca="1">'Тека ГП'!$C$4</f>
        <v>46211</v>
      </c>
      <c r="C27" s="8">
        <v>0.54166666666666663</v>
      </c>
    </row>
    <row r="28" spans="1:3" ht="12" customHeight="1">
      <c r="A28" s="2" t="s">
        <v>30</v>
      </c>
      <c r="B28" s="7">
        <f ca="1">'Тека ГП'!$C$4</f>
        <v>46211</v>
      </c>
      <c r="C28" s="8">
        <v>0.54166666666666663</v>
      </c>
    </row>
    <row r="29" spans="1:3" ht="12" customHeight="1">
      <c r="A29" s="2" t="s">
        <v>31</v>
      </c>
      <c r="B29" s="7">
        <f ca="1">'Тека ГП'!$C$4</f>
        <v>46211</v>
      </c>
      <c r="C29" s="8">
        <v>0.54166666666666663</v>
      </c>
    </row>
    <row r="30" spans="1:3" ht="12" customHeight="1">
      <c r="A30" s="2" t="s">
        <v>32</v>
      </c>
      <c r="B30" s="7">
        <f ca="1">'Тека ГП'!$C$4</f>
        <v>46211</v>
      </c>
      <c r="C30" s="8">
        <v>0.54166666666666663</v>
      </c>
    </row>
    <row r="31" spans="1:3" ht="12" customHeight="1">
      <c r="A31" s="2" t="s">
        <v>33</v>
      </c>
      <c r="B31" s="7">
        <f ca="1">'Тека ГП'!$C$4</f>
        <v>46211</v>
      </c>
      <c r="C31" s="8">
        <v>0.54166666666666663</v>
      </c>
    </row>
    <row r="32" spans="1:3" ht="12" customHeight="1">
      <c r="A32" s="2" t="s">
        <v>34</v>
      </c>
      <c r="B32" s="7">
        <f ca="1">'Тека ГП'!$C$4</f>
        <v>46211</v>
      </c>
      <c r="C32" s="8">
        <v>0.54166666666666663</v>
      </c>
    </row>
    <row r="33" spans="1:3" ht="12" customHeight="1">
      <c r="A33" s="2" t="s">
        <v>35</v>
      </c>
      <c r="B33" s="7">
        <f ca="1">'Тека ГП'!$C$4</f>
        <v>46211</v>
      </c>
      <c r="C33" s="8">
        <v>0.54166666666666663</v>
      </c>
    </row>
    <row r="34" spans="1:3" ht="12" customHeight="1">
      <c r="A34" s="2" t="s">
        <v>36</v>
      </c>
      <c r="B34" s="7">
        <f ca="1">'Тека ГП'!$C$4</f>
        <v>46211</v>
      </c>
      <c r="C34" s="8">
        <v>0.54166666666666663</v>
      </c>
    </row>
    <row r="35" spans="1:3" ht="12" customHeight="1">
      <c r="A35" s="2" t="s">
        <v>37</v>
      </c>
      <c r="B35" s="7">
        <f ca="1">'Тека ГП'!$C$4</f>
        <v>46211</v>
      </c>
      <c r="C35" s="8">
        <v>0.54166666666666663</v>
      </c>
    </row>
    <row r="36" spans="1:3" ht="12" customHeight="1">
      <c r="A36" s="2" t="s">
        <v>38</v>
      </c>
      <c r="B36" s="7">
        <f ca="1">'Тека ГП'!$C$4</f>
        <v>46211</v>
      </c>
      <c r="C36" s="8">
        <v>0.54166666666666663</v>
      </c>
    </row>
    <row r="37" spans="1:3" ht="12" customHeight="1">
      <c r="A37" s="2" t="s">
        <v>39</v>
      </c>
      <c r="B37" s="7">
        <f ca="1">'Тека ГП'!$C$4</f>
        <v>46211</v>
      </c>
      <c r="C37" s="8">
        <v>0.54166666666666663</v>
      </c>
    </row>
    <row r="38" spans="1:3" ht="12" customHeight="1">
      <c r="A38" s="2" t="s">
        <v>40</v>
      </c>
      <c r="B38" s="7">
        <f ca="1">'Тека ГП'!$C$4</f>
        <v>46211</v>
      </c>
      <c r="C38" s="8">
        <v>0.54166666666666663</v>
      </c>
    </row>
    <row r="39" spans="1:3" ht="12" customHeight="1">
      <c r="A39" s="2" t="s">
        <v>41</v>
      </c>
      <c r="B39" s="7">
        <f ca="1">'Тека ГП'!$C$4</f>
        <v>46211</v>
      </c>
      <c r="C39" s="8">
        <v>0.54166666666666663</v>
      </c>
    </row>
    <row r="40" spans="1:3" ht="12" customHeight="1">
      <c r="A40" s="2" t="s">
        <v>42</v>
      </c>
      <c r="B40" s="7">
        <f ca="1">'Тека ГП'!$C$4</f>
        <v>46211</v>
      </c>
      <c r="C40" s="8">
        <v>0.54166666666666663</v>
      </c>
    </row>
    <row r="41" spans="1:3" ht="12" customHeight="1">
      <c r="A41" s="2" t="s">
        <v>43</v>
      </c>
      <c r="B41" s="7">
        <f ca="1">'Тека ГП'!$C$4</f>
        <v>46211</v>
      </c>
      <c r="C41" s="8">
        <v>0.54166666666666663</v>
      </c>
    </row>
    <row r="42" spans="1:3" ht="12" customHeight="1">
      <c r="A42" s="2" t="s">
        <v>44</v>
      </c>
      <c r="B42" s="7">
        <f ca="1">'Тека ГП'!$C$4</f>
        <v>46211</v>
      </c>
      <c r="C42" s="8">
        <v>0.54166666666666663</v>
      </c>
    </row>
    <row r="43" spans="1:3" ht="12" customHeight="1">
      <c r="A43" s="2" t="s">
        <v>45</v>
      </c>
      <c r="B43" s="7">
        <f ca="1">'Тека ГП'!$C$4</f>
        <v>46211</v>
      </c>
      <c r="C43" s="8">
        <v>0.54166666666666663</v>
      </c>
    </row>
    <row r="44" spans="1:3" ht="12" customHeight="1">
      <c r="A44" s="2" t="s">
        <v>335</v>
      </c>
      <c r="B44" s="7">
        <f ca="1">'Тека ГП'!$C$4</f>
        <v>46211</v>
      </c>
      <c r="C44" s="8">
        <v>0.54166666666666663</v>
      </c>
    </row>
    <row r="45" spans="1:3" ht="12" customHeight="1">
      <c r="A45" s="2" t="s">
        <v>336</v>
      </c>
      <c r="B45" s="7">
        <f ca="1">'Тека ГП'!$C$4</f>
        <v>46211</v>
      </c>
      <c r="C45" s="8">
        <v>0.54166666666666663</v>
      </c>
    </row>
    <row r="46" spans="1:3" ht="12" customHeight="1">
      <c r="A46" s="2" t="s">
        <v>337</v>
      </c>
      <c r="B46" s="7">
        <f ca="1">'Тека ГП'!$C$4</f>
        <v>46211</v>
      </c>
      <c r="C46" s="8">
        <v>0.54166666666666663</v>
      </c>
    </row>
    <row r="47" spans="1:3" ht="12" customHeight="1">
      <c r="A47" s="2" t="s">
        <v>46</v>
      </c>
      <c r="B47" s="7">
        <f ca="1">'Тека ГП'!$C$4</f>
        <v>46211</v>
      </c>
      <c r="C47" s="8">
        <v>0.54166666666666663</v>
      </c>
    </row>
    <row r="48" spans="1:3" ht="12" customHeight="1">
      <c r="A48" s="2" t="s">
        <v>187</v>
      </c>
      <c r="B48" s="7">
        <f ca="1">'Тека ГП'!$C$4</f>
        <v>46211</v>
      </c>
      <c r="C48" s="8">
        <v>0.54166666666666663</v>
      </c>
    </row>
    <row r="49" spans="1:3" ht="12" hidden="1" customHeight="1">
      <c r="A49" s="2" t="s">
        <v>47</v>
      </c>
      <c r="B49" s="7">
        <f ca="1">'Тека ГП'!$C$4</f>
        <v>46211</v>
      </c>
      <c r="C49" s="8">
        <v>0.54166666666666663</v>
      </c>
    </row>
    <row r="50" spans="1:3" ht="12" hidden="1" customHeight="1">
      <c r="A50" s="2" t="s">
        <v>48</v>
      </c>
      <c r="B50" s="7">
        <f ca="1">'Тека ГП'!$C$4</f>
        <v>46211</v>
      </c>
      <c r="C50" s="8">
        <v>0.54166666666666663</v>
      </c>
    </row>
    <row r="51" spans="1:3" ht="12" hidden="1" customHeight="1">
      <c r="A51" s="2" t="s">
        <v>49</v>
      </c>
      <c r="B51" s="7">
        <f ca="1">'Тека ГП'!$C$4</f>
        <v>46211</v>
      </c>
      <c r="C51" s="8">
        <v>0.54166666666666663</v>
      </c>
    </row>
    <row r="52" spans="1:3" ht="12" hidden="1" customHeight="1">
      <c r="A52" s="2" t="s">
        <v>50</v>
      </c>
      <c r="B52" s="7">
        <f ca="1">'Тека ГП'!$C$4</f>
        <v>46211</v>
      </c>
      <c r="C52" s="8">
        <v>0.54166666666666663</v>
      </c>
    </row>
    <row r="53" spans="1:3" ht="12" hidden="1" customHeight="1">
      <c r="A53" s="2" t="s">
        <v>51</v>
      </c>
      <c r="B53" s="7">
        <f ca="1">'Тека ГП'!$C$4</f>
        <v>46211</v>
      </c>
      <c r="C53" s="8">
        <v>0.54166666666666663</v>
      </c>
    </row>
    <row r="54" spans="1:3" ht="12" hidden="1" customHeight="1">
      <c r="A54" s="2" t="s">
        <v>52</v>
      </c>
      <c r="B54" s="7">
        <f ca="1">'Тека ГП'!$C$4</f>
        <v>46211</v>
      </c>
      <c r="C54" s="8">
        <v>0.54166666666666663</v>
      </c>
    </row>
    <row r="55" spans="1:3" ht="12" hidden="1" customHeight="1">
      <c r="A55" s="2" t="s">
        <v>53</v>
      </c>
      <c r="B55" s="7">
        <f ca="1">'Тека ГП'!$C$4</f>
        <v>46211</v>
      </c>
      <c r="C55" s="8">
        <v>0.54166666666666663</v>
      </c>
    </row>
    <row r="56" spans="1:3" ht="12" hidden="1" customHeight="1">
      <c r="A56" s="2" t="s">
        <v>54</v>
      </c>
      <c r="B56" s="7">
        <f ca="1">'Тека ГП'!$C$4</f>
        <v>46211</v>
      </c>
      <c r="C56" s="8">
        <v>0.54166666666666663</v>
      </c>
    </row>
    <row r="57" spans="1:3" ht="12" hidden="1" customHeight="1">
      <c r="A57" s="2" t="s">
        <v>55</v>
      </c>
      <c r="B57" s="7">
        <f ca="1">'Тека ГП'!$C$4</f>
        <v>46211</v>
      </c>
      <c r="C57" s="8">
        <v>0.54166666666666663</v>
      </c>
    </row>
    <row r="58" spans="1:3" ht="12" hidden="1" customHeight="1">
      <c r="A58" s="2" t="s">
        <v>56</v>
      </c>
      <c r="B58" s="7">
        <f ca="1">'Тека ГП'!$C$4</f>
        <v>46211</v>
      </c>
      <c r="C58" s="8">
        <v>0.54166666666666663</v>
      </c>
    </row>
    <row r="59" spans="1:3" ht="12" hidden="1" customHeight="1">
      <c r="A59" s="2" t="s">
        <v>57</v>
      </c>
      <c r="B59" s="7">
        <f ca="1">'Тека ГП'!$C$4</f>
        <v>46211</v>
      </c>
      <c r="C59" s="8">
        <v>0.54166666666666663</v>
      </c>
    </row>
    <row r="60" spans="1:3" ht="12" hidden="1" customHeight="1">
      <c r="A60" s="2" t="s">
        <v>58</v>
      </c>
      <c r="B60" s="7">
        <f ca="1">'Тека ГП'!$C$4</f>
        <v>46211</v>
      </c>
      <c r="C60" s="8">
        <v>0.54166666666666663</v>
      </c>
    </row>
    <row r="61" spans="1:3" ht="12" hidden="1" customHeight="1">
      <c r="A61" s="2" t="s">
        <v>59</v>
      </c>
      <c r="B61" s="7">
        <f ca="1">'Тека ГП'!$C$4</f>
        <v>46211</v>
      </c>
      <c r="C61" s="8">
        <v>0.54166666666666663</v>
      </c>
    </row>
    <row r="62" spans="1:3" ht="12" hidden="1" customHeight="1">
      <c r="A62" s="2" t="s">
        <v>60</v>
      </c>
      <c r="B62" s="7">
        <f ca="1">'Тека ГП'!$C$4</f>
        <v>46211</v>
      </c>
      <c r="C62" s="8">
        <v>0.54166666666666663</v>
      </c>
    </row>
    <row r="63" spans="1:3" ht="12" hidden="1" customHeight="1">
      <c r="A63" s="2" t="s">
        <v>61</v>
      </c>
      <c r="B63" s="7">
        <f ca="1">'Тека ГП'!$C$4</f>
        <v>46211</v>
      </c>
      <c r="C63" s="8">
        <v>0.54166666666666663</v>
      </c>
    </row>
    <row r="64" spans="1:3" ht="12" customHeight="1">
      <c r="A64" s="2" t="s">
        <v>62</v>
      </c>
      <c r="B64" s="7">
        <f ca="1">'Тека ГП'!$C$4</f>
        <v>46211</v>
      </c>
      <c r="C64" s="8">
        <v>0.54166666666666663</v>
      </c>
    </row>
    <row r="65" spans="1:3" ht="12" customHeight="1">
      <c r="A65" s="2" t="s">
        <v>63</v>
      </c>
      <c r="B65" s="7">
        <f ca="1">'Тека ГП'!$C$4</f>
        <v>46211</v>
      </c>
      <c r="C65" s="8">
        <v>0.54166666666666663</v>
      </c>
    </row>
    <row r="66" spans="1:3" ht="12" customHeight="1">
      <c r="A66" s="2" t="s">
        <v>64</v>
      </c>
      <c r="B66" s="7">
        <f ca="1">'Тека ГП'!$C$4</f>
        <v>46211</v>
      </c>
      <c r="C66" s="8">
        <v>0.54166666666666663</v>
      </c>
    </row>
    <row r="67" spans="1:3" ht="12" customHeight="1">
      <c r="A67" s="2" t="s">
        <v>65</v>
      </c>
      <c r="B67" s="7">
        <f ca="1">'Тека ГП'!$C$4</f>
        <v>46211</v>
      </c>
      <c r="C67" s="8">
        <v>0.54166666666666663</v>
      </c>
    </row>
    <row r="68" spans="1:3" ht="12" customHeight="1">
      <c r="A68" s="2" t="s">
        <v>66</v>
      </c>
      <c r="B68" s="7">
        <f ca="1">'Тека ГП'!$C$4</f>
        <v>46211</v>
      </c>
      <c r="C68" s="8">
        <v>0.54166666666666663</v>
      </c>
    </row>
    <row r="69" spans="1:3" ht="12" customHeight="1">
      <c r="A69" s="2" t="s">
        <v>67</v>
      </c>
      <c r="B69" s="7">
        <f ca="1">'Тека ГП'!$C$4</f>
        <v>46211</v>
      </c>
      <c r="C69" s="8">
        <v>0.54166666666666663</v>
      </c>
    </row>
    <row r="70" spans="1:3" ht="12" customHeight="1">
      <c r="A70" s="2" t="s">
        <v>68</v>
      </c>
      <c r="B70" s="7">
        <f ca="1">'Тека ГП'!$C$4</f>
        <v>46211</v>
      </c>
      <c r="C70" s="8">
        <v>0.54166666666666663</v>
      </c>
    </row>
    <row r="71" spans="1:3" ht="12" customHeight="1">
      <c r="A71" s="2" t="s">
        <v>69</v>
      </c>
      <c r="B71" s="7">
        <f ca="1">'Тека ГП'!$C$4</f>
        <v>46211</v>
      </c>
      <c r="C71" s="8">
        <v>0.54166666666666663</v>
      </c>
    </row>
    <row r="72" spans="1:3" ht="12" customHeight="1">
      <c r="A72" s="2" t="s">
        <v>70</v>
      </c>
      <c r="B72" s="7">
        <f ca="1">'Тека ГП'!$C$4</f>
        <v>46211</v>
      </c>
      <c r="C72" s="8">
        <v>0.54166666666666663</v>
      </c>
    </row>
    <row r="73" spans="1:3" ht="12" customHeight="1">
      <c r="A73" s="2" t="s">
        <v>71</v>
      </c>
      <c r="B73" s="7">
        <f ca="1">'Тека ГП'!$C$4</f>
        <v>46211</v>
      </c>
      <c r="C73" s="8">
        <v>0.54166666666666663</v>
      </c>
    </row>
    <row r="74" spans="1:3" ht="12" customHeight="1">
      <c r="A74" s="2" t="s">
        <v>72</v>
      </c>
      <c r="B74" s="7">
        <f ca="1">'Тека ГП'!$C$4</f>
        <v>46211</v>
      </c>
      <c r="C74" s="8">
        <v>0.54166666666666663</v>
      </c>
    </row>
    <row r="75" spans="1:3" ht="12" customHeight="1">
      <c r="A75" s="2" t="s">
        <v>73</v>
      </c>
      <c r="B75" s="7">
        <f ca="1">'Тека ГП'!$C$4</f>
        <v>46211</v>
      </c>
      <c r="C75" s="8">
        <v>0.54166666666666663</v>
      </c>
    </row>
    <row r="76" spans="1:3" ht="12" customHeight="1">
      <c r="A76" s="2" t="s">
        <v>47</v>
      </c>
      <c r="B76" s="7">
        <f ca="1">'Тека ГП'!$C$4</f>
        <v>46211</v>
      </c>
      <c r="C76" s="8">
        <v>0.54166666666666663</v>
      </c>
    </row>
    <row r="77" spans="1:3" ht="12" customHeight="1">
      <c r="A77" s="2" t="s">
        <v>48</v>
      </c>
      <c r="B77" s="7">
        <f ca="1">'Тека ГП'!$C$4</f>
        <v>46211</v>
      </c>
      <c r="C77" s="8">
        <v>0.54166666666666663</v>
      </c>
    </row>
    <row r="78" spans="1:3" ht="12" customHeight="1">
      <c r="A78" s="2" t="s">
        <v>49</v>
      </c>
      <c r="B78" s="7">
        <f ca="1">'Тека ГП'!$C$4</f>
        <v>46211</v>
      </c>
      <c r="C78" s="8">
        <v>0.54166666666666663</v>
      </c>
    </row>
    <row r="79" spans="1:3" ht="12" customHeight="1">
      <c r="A79" s="2" t="s">
        <v>50</v>
      </c>
      <c r="B79" s="7">
        <f ca="1">'Тека ГП'!$C$4</f>
        <v>46211</v>
      </c>
      <c r="C79" s="8">
        <v>0.54166666666666663</v>
      </c>
    </row>
    <row r="80" spans="1:3" ht="12" customHeight="1">
      <c r="A80" s="2" t="s">
        <v>51</v>
      </c>
      <c r="B80" s="7">
        <f ca="1">'Тека ГП'!$C$4</f>
        <v>46211</v>
      </c>
      <c r="C80" s="8">
        <v>0.54166666666666663</v>
      </c>
    </row>
    <row r="81" spans="1:3" ht="12" customHeight="1">
      <c r="A81" s="2" t="s">
        <v>52</v>
      </c>
      <c r="B81" s="7">
        <f ca="1">'Тека ГП'!$C$4</f>
        <v>46211</v>
      </c>
      <c r="C81" s="8">
        <v>0.54166666666666663</v>
      </c>
    </row>
    <row r="82" spans="1:3" ht="12" customHeight="1">
      <c r="A82" s="2" t="s">
        <v>53</v>
      </c>
      <c r="B82" s="7">
        <f ca="1">'Тека ГП'!$C$4</f>
        <v>46211</v>
      </c>
      <c r="C82" s="8">
        <v>0.54166666666666663</v>
      </c>
    </row>
    <row r="83" spans="1:3" ht="12" customHeight="1">
      <c r="A83" s="2" t="s">
        <v>54</v>
      </c>
      <c r="B83" s="7">
        <f ca="1">'Тека ГП'!$C$4</f>
        <v>46211</v>
      </c>
      <c r="C83" s="8">
        <v>0.54166666666666663</v>
      </c>
    </row>
    <row r="84" spans="1:3" ht="12" customHeight="1">
      <c r="A84" s="2" t="s">
        <v>338</v>
      </c>
      <c r="B84" s="7">
        <f ca="1">'Тека ГП'!$C$4</f>
        <v>46211</v>
      </c>
      <c r="C84" s="8">
        <v>0.54166666666666663</v>
      </c>
    </row>
    <row r="85" spans="1:3" ht="12" customHeight="1">
      <c r="A85" s="2" t="s">
        <v>55</v>
      </c>
      <c r="B85" s="7">
        <f ca="1">'Тека ГП'!$C$4</f>
        <v>46211</v>
      </c>
      <c r="C85" s="8">
        <v>0.54166666666666663</v>
      </c>
    </row>
    <row r="86" spans="1:3" ht="12" customHeight="1">
      <c r="A86" s="2" t="s">
        <v>56</v>
      </c>
      <c r="B86" s="7">
        <f ca="1">'Тека ГП'!$C$4</f>
        <v>46211</v>
      </c>
      <c r="C86" s="8">
        <v>0.54166666666666663</v>
      </c>
    </row>
    <row r="87" spans="1:3" ht="12" customHeight="1">
      <c r="A87" s="2" t="s">
        <v>57</v>
      </c>
      <c r="B87" s="7">
        <f ca="1">'Тека ГП'!$C$4</f>
        <v>46211</v>
      </c>
      <c r="C87" s="8">
        <v>0.54166666666666663</v>
      </c>
    </row>
    <row r="88" spans="1:3" ht="12" customHeight="1">
      <c r="A88" s="2" t="s">
        <v>58</v>
      </c>
      <c r="B88" s="7">
        <f ca="1">'Тека ГП'!$C$4</f>
        <v>46211</v>
      </c>
      <c r="C88" s="8">
        <v>0.54166666666666663</v>
      </c>
    </row>
    <row r="89" spans="1:3" ht="12" customHeight="1">
      <c r="A89" s="2" t="s">
        <v>59</v>
      </c>
      <c r="B89" s="7">
        <f ca="1">'Тека ГП'!$C$4</f>
        <v>46211</v>
      </c>
      <c r="C89" s="8">
        <v>0.54166666666666663</v>
      </c>
    </row>
    <row r="90" spans="1:3" ht="12" customHeight="1">
      <c r="A90" s="2" t="s">
        <v>60</v>
      </c>
      <c r="B90" s="7">
        <f ca="1">'Тека ГП'!$C$4</f>
        <v>46211</v>
      </c>
      <c r="C90" s="8">
        <v>0.54166666666666663</v>
      </c>
    </row>
    <row r="91" spans="1:3" ht="12" customHeight="1">
      <c r="A91" s="2" t="s">
        <v>61</v>
      </c>
      <c r="B91" s="7">
        <f ca="1">'Тека ГП'!$C$4</f>
        <v>46211</v>
      </c>
      <c r="C91" s="8">
        <v>0.54166666666666663</v>
      </c>
    </row>
    <row r="92" spans="1:3" ht="12" customHeight="1">
      <c r="A92" s="2" t="s">
        <v>74</v>
      </c>
      <c r="B92" s="7">
        <f ca="1">'Тека ГП'!$C$4</f>
        <v>46211</v>
      </c>
      <c r="C92" s="8">
        <v>0.54166666666666663</v>
      </c>
    </row>
    <row r="93" spans="1:3" ht="12" customHeight="1">
      <c r="A93" s="2" t="s">
        <v>75</v>
      </c>
      <c r="B93" s="7">
        <f ca="1">'Тека ГП'!$C$4</f>
        <v>46211</v>
      </c>
      <c r="C93" s="8">
        <v>0.54166666666666663</v>
      </c>
    </row>
    <row r="94" spans="1:3" ht="12" customHeight="1">
      <c r="A94" s="2" t="s">
        <v>76</v>
      </c>
      <c r="B94" s="7">
        <f ca="1">'Тека ГП'!$C$4</f>
        <v>46211</v>
      </c>
      <c r="C94" s="8">
        <v>0.54166666666666663</v>
      </c>
    </row>
    <row r="95" spans="1:3" ht="12" customHeight="1">
      <c r="A95" s="2" t="s">
        <v>77</v>
      </c>
      <c r="B95" s="7">
        <f ca="1">'Тека ГП'!$C$4</f>
        <v>46211</v>
      </c>
      <c r="C95" s="8">
        <v>0.54166666666666663</v>
      </c>
    </row>
    <row r="96" spans="1:3" ht="12" customHeight="1">
      <c r="A96" s="2" t="s">
        <v>78</v>
      </c>
      <c r="B96" s="7">
        <f ca="1">'Тека ГП'!$C$4</f>
        <v>46211</v>
      </c>
      <c r="C96" s="8">
        <v>0.54166666666666663</v>
      </c>
    </row>
    <row r="97" spans="1:3" ht="12" customHeight="1">
      <c r="A97" s="2" t="s">
        <v>79</v>
      </c>
      <c r="B97" s="7">
        <f ca="1">'Тека ГП'!$C$4</f>
        <v>46211</v>
      </c>
      <c r="C97" s="8">
        <v>0.54166666666666663</v>
      </c>
    </row>
    <row r="98" spans="1:3" ht="12" customHeight="1">
      <c r="A98" s="2" t="s">
        <v>80</v>
      </c>
      <c r="B98" s="7">
        <f ca="1">'Тека ГП'!$C$4</f>
        <v>46211</v>
      </c>
      <c r="C98" s="8">
        <v>0.54166666666666663</v>
      </c>
    </row>
    <row r="99" spans="1:3" ht="12" customHeight="1">
      <c r="A99" s="2" t="s">
        <v>81</v>
      </c>
      <c r="B99" s="7">
        <f ca="1">'Тека ГП'!$C$4</f>
        <v>46211</v>
      </c>
      <c r="C99" s="8">
        <v>0.54166666666666663</v>
      </c>
    </row>
    <row r="100" spans="1:3" ht="12" customHeight="1">
      <c r="A100" s="2" t="s">
        <v>82</v>
      </c>
      <c r="B100" s="7">
        <f ca="1">'Тека ГП'!$C$4</f>
        <v>46211</v>
      </c>
      <c r="C100" s="8">
        <v>0.54166666666666663</v>
      </c>
    </row>
    <row r="101" spans="1:3" ht="12" customHeight="1">
      <c r="A101" s="2" t="s">
        <v>83</v>
      </c>
      <c r="B101" s="7">
        <f ca="1">'Тека ГП'!$C$4</f>
        <v>46211</v>
      </c>
      <c r="C101" s="8">
        <v>0.54166666666666663</v>
      </c>
    </row>
    <row r="102" spans="1:3" ht="12" customHeight="1">
      <c r="A102" s="2" t="s">
        <v>84</v>
      </c>
      <c r="B102" s="7">
        <f ca="1">'Тека ГП'!$C$4</f>
        <v>46211</v>
      </c>
      <c r="C102" s="8">
        <v>0.54166666666666663</v>
      </c>
    </row>
    <row r="103" spans="1:3" ht="12" customHeight="1">
      <c r="A103" s="2" t="s">
        <v>85</v>
      </c>
      <c r="B103" s="7">
        <f ca="1">'Тека ГП'!$C$4</f>
        <v>46211</v>
      </c>
      <c r="C103" s="8">
        <v>0.54166666666666663</v>
      </c>
    </row>
    <row r="104" spans="1:3" ht="12" customHeight="1">
      <c r="A104" s="2" t="s">
        <v>334</v>
      </c>
      <c r="B104" s="7">
        <f ca="1">'Тека ГП'!$C$4</f>
        <v>46211</v>
      </c>
      <c r="C104" s="8">
        <v>0.54166666666666663</v>
      </c>
    </row>
    <row r="105" spans="1:3" ht="12" customHeight="1">
      <c r="A105" s="2" t="s">
        <v>339</v>
      </c>
      <c r="B105" s="7">
        <f ca="1">'Тека ГП'!$C$4</f>
        <v>46211</v>
      </c>
      <c r="C105" s="8">
        <v>0.54166666666666663</v>
      </c>
    </row>
    <row r="106" spans="1:3" ht="12" customHeight="1">
      <c r="A106" s="2" t="s">
        <v>86</v>
      </c>
      <c r="B106" s="7">
        <f ca="1">'Тека ГП'!$C$4</f>
        <v>46211</v>
      </c>
      <c r="C106" s="8">
        <v>0.54166666666666663</v>
      </c>
    </row>
    <row r="107" spans="1:3" ht="12" customHeight="1">
      <c r="A107" s="2" t="s">
        <v>87</v>
      </c>
      <c r="B107" s="7">
        <f ca="1">'Тека ГП'!$C$4</f>
        <v>46211</v>
      </c>
      <c r="C107" s="8">
        <v>0.54166666666666663</v>
      </c>
    </row>
    <row r="108" spans="1:3" ht="12" customHeight="1">
      <c r="A108" s="2" t="s">
        <v>88</v>
      </c>
      <c r="B108" s="7">
        <f ca="1">'Тека ГП'!$C$4</f>
        <v>46211</v>
      </c>
      <c r="C108" s="8">
        <v>0.54166666666666663</v>
      </c>
    </row>
    <row r="109" spans="1:3" ht="12" customHeight="1">
      <c r="A109" s="2" t="s">
        <v>89</v>
      </c>
      <c r="B109" s="7">
        <f ca="1">'Тека ГП'!$C$4</f>
        <v>46211</v>
      </c>
      <c r="C109" s="8">
        <v>0.54166666666666663</v>
      </c>
    </row>
    <row r="110" spans="1:3" ht="12" customHeight="1">
      <c r="A110" s="2" t="s">
        <v>90</v>
      </c>
      <c r="B110" s="7">
        <f ca="1">'Тека ГП'!$C$4</f>
        <v>46211</v>
      </c>
      <c r="C110" s="8">
        <v>0.54166666666666663</v>
      </c>
    </row>
    <row r="111" spans="1:3" ht="12" customHeight="1">
      <c r="A111" s="2" t="s">
        <v>91</v>
      </c>
      <c r="B111" s="7">
        <f ca="1">'Тека ГП'!$C$4</f>
        <v>46211</v>
      </c>
      <c r="C111" s="8">
        <v>0.54166666666666663</v>
      </c>
    </row>
    <row r="112" spans="1:3" ht="12" customHeight="1">
      <c r="A112" s="2" t="s">
        <v>92</v>
      </c>
      <c r="B112" s="7">
        <f ca="1">'Тека ГП'!$C$4</f>
        <v>46211</v>
      </c>
      <c r="C112" s="8">
        <v>0.54166666666666663</v>
      </c>
    </row>
    <row r="113" spans="1:3" ht="12" customHeight="1">
      <c r="A113" s="2" t="s">
        <v>93</v>
      </c>
      <c r="B113" s="7">
        <f ca="1">'Тека ГП'!$C$4</f>
        <v>46211</v>
      </c>
      <c r="C113" s="8">
        <v>0.54166666666666663</v>
      </c>
    </row>
    <row r="114" spans="1:3" ht="12" customHeight="1">
      <c r="A114" s="2" t="s">
        <v>94</v>
      </c>
      <c r="B114" s="7">
        <f ca="1">'Тека ГП'!$C$4</f>
        <v>46211</v>
      </c>
      <c r="C114" s="8">
        <v>0.54166666666666663</v>
      </c>
    </row>
    <row r="115" spans="1:3" ht="12" customHeight="1">
      <c r="A115" s="2" t="s">
        <v>95</v>
      </c>
      <c r="B115" s="7">
        <f ca="1">'Тека ГП'!$C$4</f>
        <v>46211</v>
      </c>
      <c r="C115" s="8">
        <v>0.54166666666666663</v>
      </c>
    </row>
    <row r="116" spans="1:3" ht="12" customHeight="1">
      <c r="A116" s="2" t="s">
        <v>96</v>
      </c>
      <c r="B116" s="7">
        <f ca="1">'Тека ГП'!$C$4</f>
        <v>46211</v>
      </c>
      <c r="C116" s="8">
        <v>0.54166666666666663</v>
      </c>
    </row>
    <row r="117" spans="1:3" ht="12" customHeight="1">
      <c r="A117" s="2" t="s">
        <v>97</v>
      </c>
      <c r="B117" s="7">
        <f ca="1">'Тека ГП'!$C$4</f>
        <v>46211</v>
      </c>
      <c r="C117" s="8">
        <v>0.54166666666666663</v>
      </c>
    </row>
    <row r="118" spans="1:3" ht="12" customHeight="1">
      <c r="A118" s="2" t="s">
        <v>98</v>
      </c>
      <c r="B118" s="7">
        <f ca="1">'Тека ГП'!$C$4</f>
        <v>46211</v>
      </c>
      <c r="C118" s="8">
        <v>0.54166666666666663</v>
      </c>
    </row>
    <row r="119" spans="1:3" ht="12" customHeight="1">
      <c r="A119" s="2" t="s">
        <v>198</v>
      </c>
      <c r="B119" s="7">
        <f ca="1">'Тека ГП'!$C$4</f>
        <v>46211</v>
      </c>
      <c r="C119" s="8">
        <v>0.54166666666666663</v>
      </c>
    </row>
    <row r="120" spans="1:3" ht="12" customHeight="1">
      <c r="A120" s="2" t="s">
        <v>99</v>
      </c>
      <c r="B120" s="7">
        <f ca="1">'Тека ГП'!$C$4</f>
        <v>46211</v>
      </c>
      <c r="C120" s="8">
        <v>0.54166666666666663</v>
      </c>
    </row>
    <row r="121" spans="1:3" ht="12" customHeight="1">
      <c r="A121" s="2" t="s">
        <v>100</v>
      </c>
      <c r="B121" s="7">
        <f ca="1">'Тека ГП'!$C$4</f>
        <v>46211</v>
      </c>
      <c r="C121" s="8">
        <v>0.54166666666666663</v>
      </c>
    </row>
    <row r="122" spans="1:3" ht="12" customHeight="1">
      <c r="A122" s="2" t="s">
        <v>101</v>
      </c>
      <c r="B122" s="7">
        <f ca="1">'Тека ГП'!$C$4</f>
        <v>46211</v>
      </c>
      <c r="C122" s="8">
        <v>0.54166666666666663</v>
      </c>
    </row>
    <row r="123" spans="1:3" ht="12" customHeight="1">
      <c r="A123" s="2" t="s">
        <v>102</v>
      </c>
      <c r="B123" s="7">
        <f ca="1">'Тека ГП'!$C$4</f>
        <v>46211</v>
      </c>
      <c r="C123" s="8">
        <v>0.54166666666666663</v>
      </c>
    </row>
    <row r="124" spans="1:3" ht="12" customHeight="1">
      <c r="A124" s="2" t="s">
        <v>190</v>
      </c>
      <c r="B124" s="7">
        <f ca="1">'Тека ГП'!$C$4</f>
        <v>46211</v>
      </c>
      <c r="C124" s="8">
        <v>0.54166666666666663</v>
      </c>
    </row>
    <row r="125" spans="1:3" ht="12" customHeight="1">
      <c r="A125" s="2" t="s">
        <v>188</v>
      </c>
      <c r="B125" s="7">
        <f ca="1">'Тека ГП'!$C$4</f>
        <v>46211</v>
      </c>
      <c r="C125" s="8">
        <v>0.54166666666666663</v>
      </c>
    </row>
    <row r="126" spans="1:3" ht="12" customHeight="1">
      <c r="A126" s="2" t="s">
        <v>189</v>
      </c>
      <c r="B126" s="7">
        <f ca="1">'Тека ГП'!$C$4</f>
        <v>46211</v>
      </c>
      <c r="C126" s="8">
        <v>0.54166666666666663</v>
      </c>
    </row>
    <row r="127" spans="1:3" ht="12" hidden="1" customHeight="1">
      <c r="A127" s="2"/>
      <c r="B127" s="7">
        <f ca="1">'Тека ГП'!$C$4</f>
        <v>46211</v>
      </c>
      <c r="C127" s="8">
        <v>0.33333333333333331</v>
      </c>
    </row>
  </sheetData>
  <mergeCells count="4">
    <mergeCell ref="B1:C1"/>
    <mergeCell ref="B2:C2"/>
    <mergeCell ref="B3:C3"/>
    <mergeCell ref="A6:C6"/>
  </mergeCells>
  <printOptions horizontalCentered="1"/>
  <pageMargins left="0" right="0" top="0" bottom="0" header="0" footer="0"/>
  <pageSetup paperSize="9" scale="59" orientation="portrait" blackAndWhite="1" r:id="rId1"/>
  <rowBreaks count="1" manualBreakCount="1">
    <brk id="50" max="2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65CD9-BDBB-4D5F-B432-653056A832BA}">
  <sheetPr codeName="Q3">
    <pageSetUpPr fitToPage="1"/>
  </sheetPr>
  <dimension ref="A1:C127"/>
  <sheetViews>
    <sheetView view="pageBreakPreview" topLeftCell="A42" zoomScale="145" zoomScaleNormal="100" zoomScaleSheetLayoutView="145" workbookViewId="0">
      <selection activeCell="C8" sqref="C8:C125"/>
    </sheetView>
  </sheetViews>
  <sheetFormatPr defaultRowHeight="15"/>
  <cols>
    <col min="1" max="1" width="78.42578125" customWidth="1"/>
    <col min="2" max="2" width="28.5703125" customWidth="1"/>
    <col min="3" max="3" width="31.140625" customWidth="1"/>
    <col min="4" max="4" width="4.7109375" customWidth="1"/>
  </cols>
  <sheetData>
    <row r="1" spans="1:3" ht="45" customHeight="1">
      <c r="A1" s="9"/>
      <c r="B1" s="337"/>
      <c r="C1" s="337"/>
    </row>
    <row r="2" spans="1:3" ht="15.75" customHeight="1">
      <c r="A2" s="9"/>
      <c r="B2" s="338" t="s">
        <v>0</v>
      </c>
      <c r="C2" s="338"/>
    </row>
    <row r="3" spans="1:3" ht="39" customHeight="1">
      <c r="A3" s="9"/>
      <c r="B3" s="338" t="str">
        <f>'Тека ГП'!B3:C3</f>
        <v>Начальник мясного цеха 
Пискунов.А.А</v>
      </c>
      <c r="C3" s="338"/>
    </row>
    <row r="4" spans="1:3" ht="18.75" customHeight="1">
      <c r="A4" s="9"/>
      <c r="B4" s="11" t="s">
        <v>3</v>
      </c>
      <c r="C4" s="17">
        <f ca="1">'Тека ГП'!$C$4</f>
        <v>46211</v>
      </c>
    </row>
    <row r="5" spans="1:3" ht="18.75" customHeight="1">
      <c r="A5" s="9"/>
      <c r="B5" s="10"/>
      <c r="C5" s="18" t="s">
        <v>4</v>
      </c>
    </row>
    <row r="6" spans="1:3" ht="65.099999999999994" customHeight="1">
      <c r="A6" s="339" t="s">
        <v>186</v>
      </c>
      <c r="B6" s="339"/>
      <c r="C6" s="339"/>
    </row>
    <row r="7" spans="1:3" ht="21">
      <c r="A7" s="5" t="s">
        <v>1</v>
      </c>
      <c r="B7" s="6" t="s">
        <v>6</v>
      </c>
      <c r="C7" s="6" t="s">
        <v>7</v>
      </c>
    </row>
    <row r="8" spans="1:3" ht="12" customHeight="1">
      <c r="A8" s="2" t="s">
        <v>10</v>
      </c>
      <c r="B8" s="7">
        <f ca="1">'Тека ГП'!$C$4</f>
        <v>46211</v>
      </c>
      <c r="C8" s="8">
        <v>0.79166666666666663</v>
      </c>
    </row>
    <row r="9" spans="1:3" ht="12" customHeight="1">
      <c r="A9" s="2" t="s">
        <v>11</v>
      </c>
      <c r="B9" s="7">
        <f ca="1">'Тека ГП'!$C$4</f>
        <v>46211</v>
      </c>
      <c r="C9" s="8">
        <v>0.79166666666666663</v>
      </c>
    </row>
    <row r="10" spans="1:3" ht="12" customHeight="1">
      <c r="A10" s="2" t="s">
        <v>12</v>
      </c>
      <c r="B10" s="7">
        <f ca="1">'Тека ГП'!$C$4</f>
        <v>46211</v>
      </c>
      <c r="C10" s="8">
        <v>0.79166666666666663</v>
      </c>
    </row>
    <row r="11" spans="1:3" ht="12" customHeight="1">
      <c r="A11" s="2" t="s">
        <v>13</v>
      </c>
      <c r="B11" s="7">
        <f ca="1">'Тека ГП'!$C$4</f>
        <v>46211</v>
      </c>
      <c r="C11" s="8">
        <v>0.79166666666666663</v>
      </c>
    </row>
    <row r="12" spans="1:3" ht="12" customHeight="1">
      <c r="A12" s="2" t="s">
        <v>14</v>
      </c>
      <c r="B12" s="7">
        <f ca="1">'Тека ГП'!$C$4</f>
        <v>46211</v>
      </c>
      <c r="C12" s="8">
        <v>0.79166666666666663</v>
      </c>
    </row>
    <row r="13" spans="1:3" ht="12" customHeight="1">
      <c r="A13" s="2" t="s">
        <v>15</v>
      </c>
      <c r="B13" s="7">
        <f ca="1">'Тека ГП'!$C$4</f>
        <v>46211</v>
      </c>
      <c r="C13" s="8">
        <v>0.79166666666666663</v>
      </c>
    </row>
    <row r="14" spans="1:3" ht="12" customHeight="1">
      <c r="A14" s="2" t="s">
        <v>16</v>
      </c>
      <c r="B14" s="7">
        <f ca="1">'Тека ГП'!$C$4</f>
        <v>46211</v>
      </c>
      <c r="C14" s="8">
        <v>0.79166666666666663</v>
      </c>
    </row>
    <row r="15" spans="1:3" ht="12" customHeight="1">
      <c r="A15" s="2" t="s">
        <v>17</v>
      </c>
      <c r="B15" s="7">
        <f ca="1">'Тека ГП'!$C$4</f>
        <v>46211</v>
      </c>
      <c r="C15" s="8">
        <v>0.79166666666666663</v>
      </c>
    </row>
    <row r="16" spans="1:3" ht="12" customHeight="1">
      <c r="A16" s="2" t="s">
        <v>18</v>
      </c>
      <c r="B16" s="7">
        <f ca="1">'Тека ГП'!$C$4</f>
        <v>46211</v>
      </c>
      <c r="C16" s="8">
        <v>0.79166666666666663</v>
      </c>
    </row>
    <row r="17" spans="1:3" ht="12" customHeight="1">
      <c r="A17" s="2" t="s">
        <v>19</v>
      </c>
      <c r="B17" s="7">
        <f ca="1">'Тека ГП'!$C$4</f>
        <v>46211</v>
      </c>
      <c r="C17" s="8">
        <v>0.79166666666666663</v>
      </c>
    </row>
    <row r="18" spans="1:3" ht="12" customHeight="1">
      <c r="A18" s="2" t="s">
        <v>20</v>
      </c>
      <c r="B18" s="7">
        <f ca="1">'Тека ГП'!$C$4</f>
        <v>46211</v>
      </c>
      <c r="C18" s="8">
        <v>0.79166666666666663</v>
      </c>
    </row>
    <row r="19" spans="1:3" ht="12" customHeight="1">
      <c r="A19" s="2" t="s">
        <v>21</v>
      </c>
      <c r="B19" s="7">
        <f ca="1">'Тека ГП'!$C$4</f>
        <v>46211</v>
      </c>
      <c r="C19" s="8">
        <v>0.79166666666666663</v>
      </c>
    </row>
    <row r="20" spans="1:3" ht="12" customHeight="1">
      <c r="A20" s="2" t="s">
        <v>22</v>
      </c>
      <c r="B20" s="7">
        <f ca="1">'Тека ГП'!$C$4</f>
        <v>46211</v>
      </c>
      <c r="C20" s="8">
        <v>0.79166666666666663</v>
      </c>
    </row>
    <row r="21" spans="1:3" ht="12" customHeight="1">
      <c r="A21" s="2" t="s">
        <v>23</v>
      </c>
      <c r="B21" s="7">
        <f ca="1">'Тека ГП'!$C$4</f>
        <v>46211</v>
      </c>
      <c r="C21" s="8">
        <v>0.79166666666666663</v>
      </c>
    </row>
    <row r="22" spans="1:3" ht="12" customHeight="1">
      <c r="A22" s="2" t="s">
        <v>24</v>
      </c>
      <c r="B22" s="7">
        <f ca="1">'Тека ГП'!$C$4</f>
        <v>46211</v>
      </c>
      <c r="C22" s="8">
        <v>0.79166666666666663</v>
      </c>
    </row>
    <row r="23" spans="1:3" ht="12" customHeight="1">
      <c r="A23" s="2" t="s">
        <v>25</v>
      </c>
      <c r="B23" s="7">
        <f ca="1">'Тека ГП'!$C$4</f>
        <v>46211</v>
      </c>
      <c r="C23" s="8">
        <v>0.79166666666666663</v>
      </c>
    </row>
    <row r="24" spans="1:3" ht="12" customHeight="1">
      <c r="A24" s="2" t="s">
        <v>26</v>
      </c>
      <c r="B24" s="7">
        <f ca="1">'Тека ГП'!$C$4</f>
        <v>46211</v>
      </c>
      <c r="C24" s="8">
        <v>0.79166666666666663</v>
      </c>
    </row>
    <row r="25" spans="1:3" ht="12" customHeight="1">
      <c r="A25" s="2" t="s">
        <v>27</v>
      </c>
      <c r="B25" s="7">
        <f ca="1">'Тека ГП'!$C$4</f>
        <v>46211</v>
      </c>
      <c r="C25" s="8">
        <v>0.79166666666666663</v>
      </c>
    </row>
    <row r="26" spans="1:3" ht="12" customHeight="1">
      <c r="A26" s="2" t="s">
        <v>28</v>
      </c>
      <c r="B26" s="7">
        <f ca="1">'Тека ГП'!$C$4</f>
        <v>46211</v>
      </c>
      <c r="C26" s="8">
        <v>0.79166666666666663</v>
      </c>
    </row>
    <row r="27" spans="1:3" ht="12" customHeight="1">
      <c r="A27" s="2" t="s">
        <v>29</v>
      </c>
      <c r="B27" s="7">
        <f ca="1">'Тека ГП'!$C$4</f>
        <v>46211</v>
      </c>
      <c r="C27" s="8">
        <v>0.79166666666666663</v>
      </c>
    </row>
    <row r="28" spans="1:3" ht="12" customHeight="1">
      <c r="A28" s="2" t="s">
        <v>30</v>
      </c>
      <c r="B28" s="7">
        <f ca="1">'Тека ГП'!$C$4</f>
        <v>46211</v>
      </c>
      <c r="C28" s="8">
        <v>0.79166666666666663</v>
      </c>
    </row>
    <row r="29" spans="1:3" ht="12" customHeight="1">
      <c r="A29" s="2" t="s">
        <v>31</v>
      </c>
      <c r="B29" s="7">
        <f ca="1">'Тека ГП'!$C$4</f>
        <v>46211</v>
      </c>
      <c r="C29" s="8">
        <v>0.79166666666666663</v>
      </c>
    </row>
    <row r="30" spans="1:3" ht="12" customHeight="1">
      <c r="A30" s="2" t="s">
        <v>32</v>
      </c>
      <c r="B30" s="7">
        <f ca="1">'Тека ГП'!$C$4</f>
        <v>46211</v>
      </c>
      <c r="C30" s="8">
        <v>0.79166666666666663</v>
      </c>
    </row>
    <row r="31" spans="1:3" ht="12" customHeight="1">
      <c r="A31" s="2" t="s">
        <v>33</v>
      </c>
      <c r="B31" s="7">
        <f ca="1">'Тека ГП'!$C$4</f>
        <v>46211</v>
      </c>
      <c r="C31" s="8">
        <v>0.79166666666666663</v>
      </c>
    </row>
    <row r="32" spans="1:3" ht="12" customHeight="1">
      <c r="A32" s="2" t="s">
        <v>34</v>
      </c>
      <c r="B32" s="7">
        <f ca="1">'Тека ГП'!$C$4</f>
        <v>46211</v>
      </c>
      <c r="C32" s="8">
        <v>0.79166666666666663</v>
      </c>
    </row>
    <row r="33" spans="1:3" ht="12" customHeight="1">
      <c r="A33" s="2" t="s">
        <v>35</v>
      </c>
      <c r="B33" s="7">
        <f ca="1">'Тека ГП'!$C$4</f>
        <v>46211</v>
      </c>
      <c r="C33" s="8">
        <v>0.79166666666666663</v>
      </c>
    </row>
    <row r="34" spans="1:3" ht="12" customHeight="1">
      <c r="A34" s="2" t="s">
        <v>36</v>
      </c>
      <c r="B34" s="7">
        <f ca="1">'Тека ГП'!$C$4</f>
        <v>46211</v>
      </c>
      <c r="C34" s="8">
        <v>0.79166666666666663</v>
      </c>
    </row>
    <row r="35" spans="1:3" ht="12" customHeight="1">
      <c r="A35" s="2" t="s">
        <v>37</v>
      </c>
      <c r="B35" s="7">
        <f ca="1">'Тека ГП'!$C$4</f>
        <v>46211</v>
      </c>
      <c r="C35" s="8">
        <v>0.79166666666666663</v>
      </c>
    </row>
    <row r="36" spans="1:3" ht="12" customHeight="1">
      <c r="A36" s="2" t="s">
        <v>38</v>
      </c>
      <c r="B36" s="7">
        <f ca="1">'Тека ГП'!$C$4</f>
        <v>46211</v>
      </c>
      <c r="C36" s="8">
        <v>0.79166666666666663</v>
      </c>
    </row>
    <row r="37" spans="1:3" ht="12" customHeight="1">
      <c r="A37" s="2" t="s">
        <v>39</v>
      </c>
      <c r="B37" s="7">
        <f ca="1">'Тека ГП'!$C$4</f>
        <v>46211</v>
      </c>
      <c r="C37" s="8">
        <v>0.79166666666666663</v>
      </c>
    </row>
    <row r="38" spans="1:3" ht="12" customHeight="1">
      <c r="A38" s="2" t="s">
        <v>40</v>
      </c>
      <c r="B38" s="7">
        <f ca="1">'Тека ГП'!$C$4</f>
        <v>46211</v>
      </c>
      <c r="C38" s="8">
        <v>0.79166666666666663</v>
      </c>
    </row>
    <row r="39" spans="1:3" ht="12" customHeight="1">
      <c r="A39" s="2" t="s">
        <v>41</v>
      </c>
      <c r="B39" s="7">
        <f ca="1">'Тека ГП'!$C$4</f>
        <v>46211</v>
      </c>
      <c r="C39" s="8">
        <v>0.79166666666666663</v>
      </c>
    </row>
    <row r="40" spans="1:3" ht="12" customHeight="1">
      <c r="A40" s="2" t="s">
        <v>42</v>
      </c>
      <c r="B40" s="7">
        <f ca="1">'Тека ГП'!$C$4</f>
        <v>46211</v>
      </c>
      <c r="C40" s="8">
        <v>0.79166666666666663</v>
      </c>
    </row>
    <row r="41" spans="1:3" ht="12" customHeight="1">
      <c r="A41" s="2" t="s">
        <v>43</v>
      </c>
      <c r="B41" s="7">
        <f ca="1">'Тека ГП'!$C$4</f>
        <v>46211</v>
      </c>
      <c r="C41" s="8">
        <v>0.79166666666666663</v>
      </c>
    </row>
    <row r="42" spans="1:3" ht="12" customHeight="1">
      <c r="A42" s="2" t="s">
        <v>44</v>
      </c>
      <c r="B42" s="7">
        <f ca="1">'Тека ГП'!$C$4</f>
        <v>46211</v>
      </c>
      <c r="C42" s="8">
        <v>0.79166666666666663</v>
      </c>
    </row>
    <row r="43" spans="1:3" ht="12" customHeight="1">
      <c r="A43" s="2" t="s">
        <v>45</v>
      </c>
      <c r="B43" s="7">
        <f ca="1">'Тека ГП'!$C$4</f>
        <v>46211</v>
      </c>
      <c r="C43" s="8">
        <v>0.79166666666666663</v>
      </c>
    </row>
    <row r="44" spans="1:3" ht="12" customHeight="1">
      <c r="A44" s="2" t="s">
        <v>335</v>
      </c>
      <c r="B44" s="7">
        <f ca="1">'Тека ГП'!$C$4</f>
        <v>46211</v>
      </c>
      <c r="C44" s="8">
        <v>0.79166666666666663</v>
      </c>
    </row>
    <row r="45" spans="1:3" ht="12" customHeight="1">
      <c r="A45" s="2" t="s">
        <v>336</v>
      </c>
      <c r="B45" s="7">
        <f ca="1">'Тека ГП'!$C$4</f>
        <v>46211</v>
      </c>
      <c r="C45" s="8">
        <v>0.79166666666666663</v>
      </c>
    </row>
    <row r="46" spans="1:3" ht="12" customHeight="1">
      <c r="A46" s="2" t="s">
        <v>337</v>
      </c>
      <c r="B46" s="7">
        <f ca="1">'Тека ГП'!$C$4</f>
        <v>46211</v>
      </c>
      <c r="C46" s="8">
        <v>0.79166666666666663</v>
      </c>
    </row>
    <row r="47" spans="1:3" ht="12" customHeight="1">
      <c r="A47" s="2" t="s">
        <v>46</v>
      </c>
      <c r="B47" s="7">
        <f ca="1">'Тека ГП'!$C$4</f>
        <v>46211</v>
      </c>
      <c r="C47" s="8">
        <v>0.79166666666666663</v>
      </c>
    </row>
    <row r="48" spans="1:3" ht="12" customHeight="1">
      <c r="A48" s="2" t="s">
        <v>187</v>
      </c>
      <c r="B48" s="7">
        <f ca="1">'Тека ГП'!$C$4</f>
        <v>46211</v>
      </c>
      <c r="C48" s="8">
        <v>0.79166666666666663</v>
      </c>
    </row>
    <row r="49" spans="1:3" ht="12" hidden="1" customHeight="1">
      <c r="A49" s="2" t="s">
        <v>47</v>
      </c>
      <c r="B49" s="7">
        <f ca="1">'Тека ГП'!$C$4</f>
        <v>46211</v>
      </c>
      <c r="C49" s="8">
        <v>0.79166666666666663</v>
      </c>
    </row>
    <row r="50" spans="1:3" ht="12" hidden="1" customHeight="1">
      <c r="A50" s="2" t="s">
        <v>48</v>
      </c>
      <c r="B50" s="7">
        <f ca="1">'Тека ГП'!$C$4</f>
        <v>46211</v>
      </c>
      <c r="C50" s="8">
        <v>0.79166666666666663</v>
      </c>
    </row>
    <row r="51" spans="1:3" ht="12" hidden="1" customHeight="1">
      <c r="A51" s="2" t="s">
        <v>49</v>
      </c>
      <c r="B51" s="7">
        <f ca="1">'Тека ГП'!$C$4</f>
        <v>46211</v>
      </c>
      <c r="C51" s="8">
        <v>0.79166666666666663</v>
      </c>
    </row>
    <row r="52" spans="1:3" ht="12" hidden="1" customHeight="1">
      <c r="A52" s="2" t="s">
        <v>50</v>
      </c>
      <c r="B52" s="7">
        <f ca="1">'Тека ГП'!$C$4</f>
        <v>46211</v>
      </c>
      <c r="C52" s="8">
        <v>0.79166666666666663</v>
      </c>
    </row>
    <row r="53" spans="1:3" ht="12" hidden="1" customHeight="1">
      <c r="A53" s="2" t="s">
        <v>51</v>
      </c>
      <c r="B53" s="7">
        <f ca="1">'Тека ГП'!$C$4</f>
        <v>46211</v>
      </c>
      <c r="C53" s="8">
        <v>0.79166666666666663</v>
      </c>
    </row>
    <row r="54" spans="1:3" ht="12" hidden="1" customHeight="1">
      <c r="A54" s="2" t="s">
        <v>52</v>
      </c>
      <c r="B54" s="7">
        <f ca="1">'Тека ГП'!$C$4</f>
        <v>46211</v>
      </c>
      <c r="C54" s="8">
        <v>0.79166666666666663</v>
      </c>
    </row>
    <row r="55" spans="1:3" ht="12" hidden="1" customHeight="1">
      <c r="A55" s="2" t="s">
        <v>53</v>
      </c>
      <c r="B55" s="7">
        <f ca="1">'Тека ГП'!$C$4</f>
        <v>46211</v>
      </c>
      <c r="C55" s="8">
        <v>0.79166666666666663</v>
      </c>
    </row>
    <row r="56" spans="1:3" ht="12" hidden="1" customHeight="1">
      <c r="A56" s="2" t="s">
        <v>54</v>
      </c>
      <c r="B56" s="7">
        <f ca="1">'Тека ГП'!$C$4</f>
        <v>46211</v>
      </c>
      <c r="C56" s="8">
        <v>0.79166666666666663</v>
      </c>
    </row>
    <row r="57" spans="1:3" ht="12" hidden="1" customHeight="1">
      <c r="A57" s="2" t="s">
        <v>55</v>
      </c>
      <c r="B57" s="7">
        <f ca="1">'Тека ГП'!$C$4</f>
        <v>46211</v>
      </c>
      <c r="C57" s="8">
        <v>0.79166666666666663</v>
      </c>
    </row>
    <row r="58" spans="1:3" ht="12" hidden="1" customHeight="1">
      <c r="A58" s="2" t="s">
        <v>56</v>
      </c>
      <c r="B58" s="7">
        <f ca="1">'Тека ГП'!$C$4</f>
        <v>46211</v>
      </c>
      <c r="C58" s="8">
        <v>0.79166666666666663</v>
      </c>
    </row>
    <row r="59" spans="1:3" ht="12" hidden="1" customHeight="1">
      <c r="A59" s="2" t="s">
        <v>57</v>
      </c>
      <c r="B59" s="7">
        <f ca="1">'Тека ГП'!$C$4</f>
        <v>46211</v>
      </c>
      <c r="C59" s="8">
        <v>0.79166666666666663</v>
      </c>
    </row>
    <row r="60" spans="1:3" ht="12" hidden="1" customHeight="1">
      <c r="A60" s="2" t="s">
        <v>58</v>
      </c>
      <c r="B60" s="7">
        <f ca="1">'Тека ГП'!$C$4</f>
        <v>46211</v>
      </c>
      <c r="C60" s="8">
        <v>0.79166666666666663</v>
      </c>
    </row>
    <row r="61" spans="1:3" ht="12" hidden="1" customHeight="1">
      <c r="A61" s="2" t="s">
        <v>59</v>
      </c>
      <c r="B61" s="7">
        <f ca="1">'Тека ГП'!$C$4</f>
        <v>46211</v>
      </c>
      <c r="C61" s="8">
        <v>0.79166666666666663</v>
      </c>
    </row>
    <row r="62" spans="1:3" ht="12" hidden="1" customHeight="1">
      <c r="A62" s="2" t="s">
        <v>60</v>
      </c>
      <c r="B62" s="7">
        <f ca="1">'Тека ГП'!$C$4</f>
        <v>46211</v>
      </c>
      <c r="C62" s="8">
        <v>0.79166666666666663</v>
      </c>
    </row>
    <row r="63" spans="1:3" ht="12" hidden="1" customHeight="1">
      <c r="A63" s="2" t="s">
        <v>61</v>
      </c>
      <c r="B63" s="7">
        <f ca="1">'Тека ГП'!$C$4</f>
        <v>46211</v>
      </c>
      <c r="C63" s="8">
        <v>0.79166666666666663</v>
      </c>
    </row>
    <row r="64" spans="1:3" ht="12" customHeight="1">
      <c r="A64" s="2" t="s">
        <v>62</v>
      </c>
      <c r="B64" s="7">
        <f ca="1">'Тека ГП'!$C$4</f>
        <v>46211</v>
      </c>
      <c r="C64" s="8">
        <v>0.79166666666666663</v>
      </c>
    </row>
    <row r="65" spans="1:3" ht="12" customHeight="1">
      <c r="A65" s="2" t="s">
        <v>63</v>
      </c>
      <c r="B65" s="7">
        <f ca="1">'Тека ГП'!$C$4</f>
        <v>46211</v>
      </c>
      <c r="C65" s="8">
        <v>0.79166666666666663</v>
      </c>
    </row>
    <row r="66" spans="1:3" ht="12" customHeight="1">
      <c r="A66" s="2" t="s">
        <v>64</v>
      </c>
      <c r="B66" s="7">
        <f ca="1">'Тека ГП'!$C$4</f>
        <v>46211</v>
      </c>
      <c r="C66" s="8">
        <v>0.79166666666666663</v>
      </c>
    </row>
    <row r="67" spans="1:3" ht="12" customHeight="1">
      <c r="A67" s="2" t="s">
        <v>65</v>
      </c>
      <c r="B67" s="7">
        <f ca="1">'Тека ГП'!$C$4</f>
        <v>46211</v>
      </c>
      <c r="C67" s="8">
        <v>0.79166666666666663</v>
      </c>
    </row>
    <row r="68" spans="1:3" ht="12" customHeight="1">
      <c r="A68" s="2" t="s">
        <v>66</v>
      </c>
      <c r="B68" s="7">
        <f ca="1">'Тека ГП'!$C$4</f>
        <v>46211</v>
      </c>
      <c r="C68" s="8">
        <v>0.79166666666666663</v>
      </c>
    </row>
    <row r="69" spans="1:3" ht="12" customHeight="1">
      <c r="A69" s="2" t="s">
        <v>67</v>
      </c>
      <c r="B69" s="7">
        <f ca="1">'Тека ГП'!$C$4</f>
        <v>46211</v>
      </c>
      <c r="C69" s="8">
        <v>0.79166666666666663</v>
      </c>
    </row>
    <row r="70" spans="1:3" ht="12" customHeight="1">
      <c r="A70" s="2" t="s">
        <v>68</v>
      </c>
      <c r="B70" s="7">
        <f ca="1">'Тека ГП'!$C$4</f>
        <v>46211</v>
      </c>
      <c r="C70" s="8">
        <v>0.79166666666666663</v>
      </c>
    </row>
    <row r="71" spans="1:3" ht="12" customHeight="1">
      <c r="A71" s="2" t="s">
        <v>69</v>
      </c>
      <c r="B71" s="7">
        <f ca="1">'Тека ГП'!$C$4</f>
        <v>46211</v>
      </c>
      <c r="C71" s="8">
        <v>0.79166666666666663</v>
      </c>
    </row>
    <row r="72" spans="1:3" ht="12" customHeight="1">
      <c r="A72" s="2" t="s">
        <v>70</v>
      </c>
      <c r="B72" s="7">
        <f ca="1">'Тека ГП'!$C$4</f>
        <v>46211</v>
      </c>
      <c r="C72" s="8">
        <v>0.79166666666666663</v>
      </c>
    </row>
    <row r="73" spans="1:3" ht="12" customHeight="1">
      <c r="A73" s="2" t="s">
        <v>71</v>
      </c>
      <c r="B73" s="7">
        <f ca="1">'Тека ГП'!$C$4</f>
        <v>46211</v>
      </c>
      <c r="C73" s="8">
        <v>0.79166666666666663</v>
      </c>
    </row>
    <row r="74" spans="1:3" ht="12" customHeight="1">
      <c r="A74" s="2" t="s">
        <v>72</v>
      </c>
      <c r="B74" s="7">
        <f ca="1">'Тека ГП'!$C$4</f>
        <v>46211</v>
      </c>
      <c r="C74" s="8">
        <v>0.79166666666666663</v>
      </c>
    </row>
    <row r="75" spans="1:3" ht="12" customHeight="1">
      <c r="A75" s="2" t="s">
        <v>73</v>
      </c>
      <c r="B75" s="7">
        <f ca="1">'Тека ГП'!$C$4</f>
        <v>46211</v>
      </c>
      <c r="C75" s="8">
        <v>0.79166666666666663</v>
      </c>
    </row>
    <row r="76" spans="1:3" ht="12" customHeight="1">
      <c r="A76" s="2" t="s">
        <v>47</v>
      </c>
      <c r="B76" s="7">
        <f ca="1">'Тека ГП'!$C$4</f>
        <v>46211</v>
      </c>
      <c r="C76" s="8">
        <v>0.79166666666666663</v>
      </c>
    </row>
    <row r="77" spans="1:3" ht="12" customHeight="1">
      <c r="A77" s="2" t="s">
        <v>48</v>
      </c>
      <c r="B77" s="7">
        <f ca="1">'Тека ГП'!$C$4</f>
        <v>46211</v>
      </c>
      <c r="C77" s="8">
        <v>0.79166666666666663</v>
      </c>
    </row>
    <row r="78" spans="1:3" ht="12" customHeight="1">
      <c r="A78" s="2" t="s">
        <v>49</v>
      </c>
      <c r="B78" s="7">
        <f ca="1">'Тека ГП'!$C$4</f>
        <v>46211</v>
      </c>
      <c r="C78" s="8">
        <v>0.79166666666666663</v>
      </c>
    </row>
    <row r="79" spans="1:3" ht="12" customHeight="1">
      <c r="A79" s="2" t="s">
        <v>50</v>
      </c>
      <c r="B79" s="7">
        <f ca="1">'Тека ГП'!$C$4</f>
        <v>46211</v>
      </c>
      <c r="C79" s="8">
        <v>0.79166666666666663</v>
      </c>
    </row>
    <row r="80" spans="1:3" ht="12" customHeight="1">
      <c r="A80" s="2" t="s">
        <v>51</v>
      </c>
      <c r="B80" s="7">
        <f ca="1">'Тека ГП'!$C$4</f>
        <v>46211</v>
      </c>
      <c r="C80" s="8">
        <v>0.79166666666666663</v>
      </c>
    </row>
    <row r="81" spans="1:3" ht="12" customHeight="1">
      <c r="A81" s="2" t="s">
        <v>52</v>
      </c>
      <c r="B81" s="7">
        <f ca="1">'Тека ГП'!$C$4</f>
        <v>46211</v>
      </c>
      <c r="C81" s="8">
        <v>0.79166666666666663</v>
      </c>
    </row>
    <row r="82" spans="1:3" ht="12" customHeight="1">
      <c r="A82" s="2" t="s">
        <v>53</v>
      </c>
      <c r="B82" s="7">
        <f ca="1">'Тека ГП'!$C$4</f>
        <v>46211</v>
      </c>
      <c r="C82" s="8">
        <v>0.79166666666666663</v>
      </c>
    </row>
    <row r="83" spans="1:3" ht="12" customHeight="1">
      <c r="A83" s="2" t="s">
        <v>54</v>
      </c>
      <c r="B83" s="7">
        <f ca="1">'Тека ГП'!$C$4</f>
        <v>46211</v>
      </c>
      <c r="C83" s="8">
        <v>0.79166666666666663</v>
      </c>
    </row>
    <row r="84" spans="1:3" ht="12" customHeight="1">
      <c r="A84" s="2" t="s">
        <v>338</v>
      </c>
      <c r="B84" s="7">
        <f ca="1">'Тека ГП'!$C$4</f>
        <v>46211</v>
      </c>
      <c r="C84" s="8">
        <v>0.79166666666666663</v>
      </c>
    </row>
    <row r="85" spans="1:3" ht="12" customHeight="1">
      <c r="A85" s="2" t="s">
        <v>55</v>
      </c>
      <c r="B85" s="7">
        <f ca="1">'Тека ГП'!$C$4</f>
        <v>46211</v>
      </c>
      <c r="C85" s="8">
        <v>0.79166666666666663</v>
      </c>
    </row>
    <row r="86" spans="1:3" ht="12" customHeight="1">
      <c r="A86" s="2" t="s">
        <v>56</v>
      </c>
      <c r="B86" s="7">
        <f ca="1">'Тека ГП'!$C$4</f>
        <v>46211</v>
      </c>
      <c r="C86" s="8">
        <v>0.79166666666666663</v>
      </c>
    </row>
    <row r="87" spans="1:3" ht="12" customHeight="1">
      <c r="A87" s="2" t="s">
        <v>57</v>
      </c>
      <c r="B87" s="7">
        <f ca="1">'Тека ГП'!$C$4</f>
        <v>46211</v>
      </c>
      <c r="C87" s="8">
        <v>0.79166666666666663</v>
      </c>
    </row>
    <row r="88" spans="1:3" ht="12" customHeight="1">
      <c r="A88" s="2" t="s">
        <v>58</v>
      </c>
      <c r="B88" s="7">
        <f ca="1">'Тека ГП'!$C$4</f>
        <v>46211</v>
      </c>
      <c r="C88" s="8">
        <v>0.79166666666666663</v>
      </c>
    </row>
    <row r="89" spans="1:3" ht="12" customHeight="1">
      <c r="A89" s="2" t="s">
        <v>59</v>
      </c>
      <c r="B89" s="7">
        <f ca="1">'Тека ГП'!$C$4</f>
        <v>46211</v>
      </c>
      <c r="C89" s="8">
        <v>0.79166666666666663</v>
      </c>
    </row>
    <row r="90" spans="1:3" ht="12" customHeight="1">
      <c r="A90" s="2" t="s">
        <v>60</v>
      </c>
      <c r="B90" s="7">
        <f ca="1">'Тека ГП'!$C$4</f>
        <v>46211</v>
      </c>
      <c r="C90" s="8">
        <v>0.79166666666666663</v>
      </c>
    </row>
    <row r="91" spans="1:3" ht="12" customHeight="1">
      <c r="A91" s="2" t="s">
        <v>61</v>
      </c>
      <c r="B91" s="7">
        <f ca="1">'Тека ГП'!$C$4</f>
        <v>46211</v>
      </c>
      <c r="C91" s="8">
        <v>0.79166666666666663</v>
      </c>
    </row>
    <row r="92" spans="1:3" ht="12" customHeight="1">
      <c r="A92" s="2" t="s">
        <v>74</v>
      </c>
      <c r="B92" s="7">
        <f ca="1">'Тека ГП'!$C$4</f>
        <v>46211</v>
      </c>
      <c r="C92" s="8">
        <v>0.79166666666666663</v>
      </c>
    </row>
    <row r="93" spans="1:3" ht="12" customHeight="1">
      <c r="A93" s="2" t="s">
        <v>75</v>
      </c>
      <c r="B93" s="7">
        <f ca="1">'Тека ГП'!$C$4</f>
        <v>46211</v>
      </c>
      <c r="C93" s="8">
        <v>0.79166666666666663</v>
      </c>
    </row>
    <row r="94" spans="1:3" ht="12" customHeight="1">
      <c r="A94" s="2" t="s">
        <v>76</v>
      </c>
      <c r="B94" s="7">
        <f ca="1">'Тека ГП'!$C$4</f>
        <v>46211</v>
      </c>
      <c r="C94" s="8">
        <v>0.79166666666666663</v>
      </c>
    </row>
    <row r="95" spans="1:3" ht="12" customHeight="1">
      <c r="A95" s="2" t="s">
        <v>77</v>
      </c>
      <c r="B95" s="7">
        <f ca="1">'Тека ГП'!$C$4</f>
        <v>46211</v>
      </c>
      <c r="C95" s="8">
        <v>0.79166666666666663</v>
      </c>
    </row>
    <row r="96" spans="1:3" ht="12" customHeight="1">
      <c r="A96" s="2" t="s">
        <v>78</v>
      </c>
      <c r="B96" s="7">
        <f ca="1">'Тека ГП'!$C$4</f>
        <v>46211</v>
      </c>
      <c r="C96" s="8">
        <v>0.79166666666666663</v>
      </c>
    </row>
    <row r="97" spans="1:3" ht="12" customHeight="1">
      <c r="A97" s="2" t="s">
        <v>79</v>
      </c>
      <c r="B97" s="7">
        <f ca="1">'Тека ГП'!$C$4</f>
        <v>46211</v>
      </c>
      <c r="C97" s="8">
        <v>0.79166666666666663</v>
      </c>
    </row>
    <row r="98" spans="1:3" ht="12" customHeight="1">
      <c r="A98" s="2" t="s">
        <v>80</v>
      </c>
      <c r="B98" s="7">
        <f ca="1">'Тека ГП'!$C$4</f>
        <v>46211</v>
      </c>
      <c r="C98" s="8">
        <v>0.79166666666666663</v>
      </c>
    </row>
    <row r="99" spans="1:3" ht="12" customHeight="1">
      <c r="A99" s="2" t="s">
        <v>81</v>
      </c>
      <c r="B99" s="7">
        <f ca="1">'Тека ГП'!$C$4</f>
        <v>46211</v>
      </c>
      <c r="C99" s="8">
        <v>0.79166666666666663</v>
      </c>
    </row>
    <row r="100" spans="1:3" ht="12" customHeight="1">
      <c r="A100" s="2" t="s">
        <v>82</v>
      </c>
      <c r="B100" s="7">
        <f ca="1">'Тека ГП'!$C$4</f>
        <v>46211</v>
      </c>
      <c r="C100" s="8">
        <v>0.79166666666666663</v>
      </c>
    </row>
    <row r="101" spans="1:3" ht="12" customHeight="1">
      <c r="A101" s="2" t="s">
        <v>83</v>
      </c>
      <c r="B101" s="7">
        <f ca="1">'Тека ГП'!$C$4</f>
        <v>46211</v>
      </c>
      <c r="C101" s="8">
        <v>0.79166666666666663</v>
      </c>
    </row>
    <row r="102" spans="1:3" ht="12" customHeight="1">
      <c r="A102" s="2" t="s">
        <v>84</v>
      </c>
      <c r="B102" s="7">
        <f ca="1">'Тека ГП'!$C$4</f>
        <v>46211</v>
      </c>
      <c r="C102" s="8">
        <v>0.79166666666666663</v>
      </c>
    </row>
    <row r="103" spans="1:3" ht="12" customHeight="1">
      <c r="A103" s="2" t="s">
        <v>85</v>
      </c>
      <c r="B103" s="7">
        <f ca="1">'Тека ГП'!$C$4</f>
        <v>46211</v>
      </c>
      <c r="C103" s="8">
        <v>0.79166666666666663</v>
      </c>
    </row>
    <row r="104" spans="1:3" ht="12" customHeight="1">
      <c r="A104" s="2" t="s">
        <v>334</v>
      </c>
      <c r="B104" s="7">
        <f ca="1">'Тека ГП'!$C$4</f>
        <v>46211</v>
      </c>
      <c r="C104" s="8">
        <v>0.79166666666666663</v>
      </c>
    </row>
    <row r="105" spans="1:3" ht="12" customHeight="1">
      <c r="A105" s="2" t="s">
        <v>339</v>
      </c>
      <c r="B105" s="7">
        <f ca="1">'Тека ГП'!$C$4</f>
        <v>46211</v>
      </c>
      <c r="C105" s="8">
        <v>0.79166666666666663</v>
      </c>
    </row>
    <row r="106" spans="1:3" ht="12" customHeight="1">
      <c r="A106" s="2" t="s">
        <v>86</v>
      </c>
      <c r="B106" s="7">
        <f ca="1">'Тека ГП'!$C$4</f>
        <v>46211</v>
      </c>
      <c r="C106" s="8">
        <v>0.79166666666666663</v>
      </c>
    </row>
    <row r="107" spans="1:3" ht="12" customHeight="1">
      <c r="A107" s="2" t="s">
        <v>87</v>
      </c>
      <c r="B107" s="7">
        <f ca="1">'Тека ГП'!$C$4</f>
        <v>46211</v>
      </c>
      <c r="C107" s="8">
        <v>0.79166666666666663</v>
      </c>
    </row>
    <row r="108" spans="1:3" ht="12" customHeight="1">
      <c r="A108" s="2" t="s">
        <v>88</v>
      </c>
      <c r="B108" s="7">
        <f ca="1">'Тека ГП'!$C$4</f>
        <v>46211</v>
      </c>
      <c r="C108" s="8">
        <v>0.79166666666666663</v>
      </c>
    </row>
    <row r="109" spans="1:3" ht="12" customHeight="1">
      <c r="A109" s="2" t="s">
        <v>89</v>
      </c>
      <c r="B109" s="7">
        <f ca="1">'Тека ГП'!$C$4</f>
        <v>46211</v>
      </c>
      <c r="C109" s="8">
        <v>0.79166666666666663</v>
      </c>
    </row>
    <row r="110" spans="1:3" ht="12" customHeight="1">
      <c r="A110" s="2" t="s">
        <v>90</v>
      </c>
      <c r="B110" s="7">
        <f ca="1">'Тека ГП'!$C$4</f>
        <v>46211</v>
      </c>
      <c r="C110" s="8">
        <v>0.79166666666666663</v>
      </c>
    </row>
    <row r="111" spans="1:3" ht="12" customHeight="1">
      <c r="A111" s="2" t="s">
        <v>91</v>
      </c>
      <c r="B111" s="7">
        <f ca="1">'Тека ГП'!$C$4</f>
        <v>46211</v>
      </c>
      <c r="C111" s="8">
        <v>0.79166666666666663</v>
      </c>
    </row>
    <row r="112" spans="1:3" ht="12" customHeight="1">
      <c r="A112" s="2" t="s">
        <v>92</v>
      </c>
      <c r="B112" s="7">
        <f ca="1">'Тека ГП'!$C$4</f>
        <v>46211</v>
      </c>
      <c r="C112" s="8">
        <v>0.79166666666666663</v>
      </c>
    </row>
    <row r="113" spans="1:3" ht="12" customHeight="1">
      <c r="A113" s="2" t="s">
        <v>93</v>
      </c>
      <c r="B113" s="7">
        <f ca="1">'Тека ГП'!$C$4</f>
        <v>46211</v>
      </c>
      <c r="C113" s="8">
        <v>0.79166666666666663</v>
      </c>
    </row>
    <row r="114" spans="1:3" ht="12" customHeight="1">
      <c r="A114" s="2" t="s">
        <v>94</v>
      </c>
      <c r="B114" s="7">
        <f ca="1">'Тека ГП'!$C$4</f>
        <v>46211</v>
      </c>
      <c r="C114" s="8">
        <v>0.79166666666666663</v>
      </c>
    </row>
    <row r="115" spans="1:3" ht="12" customHeight="1">
      <c r="A115" s="2" t="s">
        <v>95</v>
      </c>
      <c r="B115" s="7">
        <f ca="1">'Тека ГП'!$C$4</f>
        <v>46211</v>
      </c>
      <c r="C115" s="8">
        <v>0.79166666666666663</v>
      </c>
    </row>
    <row r="116" spans="1:3" ht="12" customHeight="1">
      <c r="A116" s="2" t="s">
        <v>96</v>
      </c>
      <c r="B116" s="7">
        <f ca="1">'Тека ГП'!$C$4</f>
        <v>46211</v>
      </c>
      <c r="C116" s="8">
        <v>0.79166666666666663</v>
      </c>
    </row>
    <row r="117" spans="1:3" ht="12" customHeight="1">
      <c r="A117" s="2" t="s">
        <v>97</v>
      </c>
      <c r="B117" s="7">
        <f ca="1">'Тека ГП'!$C$4</f>
        <v>46211</v>
      </c>
      <c r="C117" s="8">
        <v>0.79166666666666663</v>
      </c>
    </row>
    <row r="118" spans="1:3" ht="12" customHeight="1">
      <c r="A118" s="2" t="s">
        <v>98</v>
      </c>
      <c r="B118" s="7">
        <f ca="1">'Тека ГП'!$C$4</f>
        <v>46211</v>
      </c>
      <c r="C118" s="8">
        <v>0.79166666666666663</v>
      </c>
    </row>
    <row r="119" spans="1:3" ht="12" customHeight="1">
      <c r="A119" s="2" t="s">
        <v>198</v>
      </c>
      <c r="B119" s="7">
        <f ca="1">'Тека ГП'!$C$4</f>
        <v>46211</v>
      </c>
      <c r="C119" s="8">
        <v>0.79166666666666663</v>
      </c>
    </row>
    <row r="120" spans="1:3" ht="12" customHeight="1">
      <c r="A120" s="2" t="s">
        <v>99</v>
      </c>
      <c r="B120" s="7">
        <f ca="1">'Тека ГП'!$C$4</f>
        <v>46211</v>
      </c>
      <c r="C120" s="8">
        <v>0.79166666666666663</v>
      </c>
    </row>
    <row r="121" spans="1:3" ht="12" customHeight="1">
      <c r="A121" s="2" t="s">
        <v>100</v>
      </c>
      <c r="B121" s="7">
        <f ca="1">'Тека ГП'!$C$4</f>
        <v>46211</v>
      </c>
      <c r="C121" s="8">
        <v>0.79166666666666663</v>
      </c>
    </row>
    <row r="122" spans="1:3" ht="12" customHeight="1">
      <c r="A122" s="2" t="s">
        <v>101</v>
      </c>
      <c r="B122" s="7">
        <f ca="1">'Тека ГП'!$C$4</f>
        <v>46211</v>
      </c>
      <c r="C122" s="8">
        <v>0.79166666666666663</v>
      </c>
    </row>
    <row r="123" spans="1:3" ht="12" customHeight="1">
      <c r="A123" s="2" t="s">
        <v>102</v>
      </c>
      <c r="B123" s="7">
        <f ca="1">'Тека ГП'!$C$4</f>
        <v>46211</v>
      </c>
      <c r="C123" s="8">
        <v>0.79166666666666663</v>
      </c>
    </row>
    <row r="124" spans="1:3" ht="12" customHeight="1">
      <c r="A124" s="2" t="s">
        <v>190</v>
      </c>
      <c r="B124" s="7">
        <f ca="1">'Тека ГП'!$C$4</f>
        <v>46211</v>
      </c>
      <c r="C124" s="8">
        <v>0.79166666666666663</v>
      </c>
    </row>
    <row r="125" spans="1:3" ht="12" customHeight="1">
      <c r="A125" s="2" t="s">
        <v>188</v>
      </c>
      <c r="B125" s="7">
        <f ca="1">'Тека ГП'!$C$4</f>
        <v>46211</v>
      </c>
      <c r="C125" s="8">
        <v>0.79166666666666663</v>
      </c>
    </row>
    <row r="126" spans="1:3" ht="12" customHeight="1">
      <c r="A126" s="2" t="s">
        <v>189</v>
      </c>
      <c r="B126" s="7">
        <f ca="1">'Тека ГП'!$C$4</f>
        <v>46211</v>
      </c>
      <c r="C126" s="8">
        <v>0.79166666666666663</v>
      </c>
    </row>
    <row r="127" spans="1:3" ht="12" hidden="1" customHeight="1">
      <c r="A127" s="2"/>
      <c r="B127" s="7">
        <f ca="1">'Тека ГП'!$C$4</f>
        <v>46211</v>
      </c>
      <c r="C127" s="8">
        <v>0.33333333333333331</v>
      </c>
    </row>
  </sheetData>
  <mergeCells count="4">
    <mergeCell ref="B1:C1"/>
    <mergeCell ref="B2:C2"/>
    <mergeCell ref="B3:C3"/>
    <mergeCell ref="A6:C6"/>
  </mergeCells>
  <printOptions horizontalCentered="1"/>
  <pageMargins left="0" right="0" top="0" bottom="0" header="0" footer="0"/>
  <pageSetup paperSize="9" scale="59" orientation="portrait" blackAndWhite="1" r:id="rId1"/>
  <rowBreaks count="1" manualBreakCount="1">
    <brk id="50" max="2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A4AC1-89B8-413A-BD23-A125458A2329}">
  <sheetPr codeName="Q6"/>
  <dimension ref="A1:F101"/>
  <sheetViews>
    <sheetView view="pageBreakPreview" topLeftCell="A6" zoomScale="130" zoomScaleNormal="85" zoomScaleSheetLayoutView="130" workbookViewId="0">
      <selection activeCell="A24" sqref="A24"/>
    </sheetView>
  </sheetViews>
  <sheetFormatPr defaultRowHeight="15"/>
  <cols>
    <col min="1" max="1" width="76.85546875" customWidth="1"/>
    <col min="2" max="3" width="25.7109375" customWidth="1"/>
    <col min="4" max="4" width="0" hidden="1" customWidth="1"/>
    <col min="5" max="5" width="18.140625" hidden="1" customWidth="1"/>
    <col min="6" max="6" width="0" hidden="1" customWidth="1"/>
  </cols>
  <sheetData>
    <row r="1" spans="1:6" ht="32.25" hidden="1" customHeight="1">
      <c r="A1" s="9"/>
      <c r="B1" s="337"/>
      <c r="C1" s="337"/>
    </row>
    <row r="2" spans="1:6" ht="15.75" hidden="1" customHeight="1">
      <c r="A2" s="9"/>
      <c r="B2" s="338"/>
      <c r="C2" s="338"/>
    </row>
    <row r="3" spans="1:6" ht="28.5" hidden="1" customHeight="1">
      <c r="A3" s="9"/>
      <c r="B3" s="338"/>
      <c r="C3" s="338"/>
    </row>
    <row r="4" spans="1:6" ht="18.75" hidden="1" customHeight="1">
      <c r="A4" s="9"/>
      <c r="B4" s="11"/>
      <c r="C4" s="12"/>
    </row>
    <row r="5" spans="1:6" ht="18.75" hidden="1">
      <c r="A5" s="9"/>
      <c r="B5" s="23"/>
      <c r="C5" s="11"/>
    </row>
    <row r="6" spans="1:6" ht="65.099999999999994" customHeight="1">
      <c r="A6" s="334" t="s">
        <v>186</v>
      </c>
      <c r="B6" s="335"/>
      <c r="C6" s="335"/>
      <c r="E6" s="21" t="s">
        <v>184</v>
      </c>
    </row>
    <row r="7" spans="1:6" ht="21.75" thickBot="1">
      <c r="A7" s="5" t="s">
        <v>2</v>
      </c>
      <c r="B7" s="6" t="s">
        <v>9</v>
      </c>
      <c r="C7" s="6" t="s">
        <v>8</v>
      </c>
      <c r="E7" s="19"/>
    </row>
    <row r="8" spans="1:6" ht="16.5" customHeight="1" thickBot="1">
      <c r="A8" s="1" t="s">
        <v>103</v>
      </c>
      <c r="B8" s="14"/>
      <c r="C8" s="15"/>
      <c r="D8" s="19"/>
      <c r="E8" s="20">
        <f>B8+6</f>
        <v>6</v>
      </c>
    </row>
    <row r="9" spans="1:6" ht="15.75" hidden="1" thickBot="1">
      <c r="A9" s="1" t="s">
        <v>104</v>
      </c>
      <c r="B9" s="14"/>
      <c r="C9" s="15"/>
      <c r="E9" s="26">
        <f>B9+1</f>
        <v>1</v>
      </c>
      <c r="F9" t="s">
        <v>185</v>
      </c>
    </row>
    <row r="10" spans="1:6" ht="15.75" thickBot="1">
      <c r="A10" s="1" t="s">
        <v>105</v>
      </c>
      <c r="B10" s="14"/>
      <c r="C10" s="15"/>
      <c r="E10" s="20">
        <f>B10+25</f>
        <v>25</v>
      </c>
    </row>
    <row r="11" spans="1:6" ht="15.75" thickBot="1">
      <c r="A11" s="1" t="s">
        <v>106</v>
      </c>
      <c r="B11" s="14"/>
      <c r="C11" s="15"/>
      <c r="E11" s="20">
        <f>B11+25</f>
        <v>25</v>
      </c>
    </row>
    <row r="12" spans="1:6" ht="15.75" hidden="1" thickBot="1">
      <c r="A12" s="1" t="s">
        <v>107</v>
      </c>
      <c r="B12" s="14"/>
      <c r="C12" s="15"/>
      <c r="E12" s="20">
        <f>B12+3</f>
        <v>3</v>
      </c>
    </row>
    <row r="13" spans="1:6" ht="15.75" thickBot="1">
      <c r="A13" s="1" t="s">
        <v>108</v>
      </c>
      <c r="B13" s="14"/>
      <c r="C13" s="15"/>
      <c r="E13" s="22">
        <f>B13+6</f>
        <v>6</v>
      </c>
    </row>
    <row r="14" spans="1:6" ht="15.75" hidden="1" thickBot="1">
      <c r="A14" s="1" t="s">
        <v>109</v>
      </c>
      <c r="B14" s="14"/>
      <c r="C14" s="15"/>
      <c r="E14" s="27">
        <f>B14+1</f>
        <v>1</v>
      </c>
      <c r="F14" t="s">
        <v>185</v>
      </c>
    </row>
    <row r="15" spans="1:6" ht="15.75" thickBot="1">
      <c r="A15" s="1" t="s">
        <v>110</v>
      </c>
      <c r="B15" s="14"/>
      <c r="C15" s="15"/>
      <c r="E15" s="20">
        <f>B15+25</f>
        <v>25</v>
      </c>
    </row>
    <row r="16" spans="1:6" ht="15.75" thickBot="1">
      <c r="A16" s="1" t="s">
        <v>111</v>
      </c>
      <c r="B16" s="14"/>
      <c r="C16" s="15"/>
      <c r="E16" s="20">
        <f>B16+6</f>
        <v>6</v>
      </c>
    </row>
    <row r="17" spans="1:6" ht="15.75" hidden="1" thickBot="1">
      <c r="A17" s="1" t="s">
        <v>112</v>
      </c>
      <c r="B17" s="14"/>
      <c r="C17" s="15"/>
      <c r="E17" s="27">
        <f>B17+1</f>
        <v>1</v>
      </c>
      <c r="F17" t="s">
        <v>185</v>
      </c>
    </row>
    <row r="18" spans="1:6" ht="15.75" thickBot="1">
      <c r="A18" s="1" t="s">
        <v>113</v>
      </c>
      <c r="B18" s="14"/>
      <c r="C18" s="15"/>
      <c r="E18" s="20">
        <f>B18+25</f>
        <v>25</v>
      </c>
    </row>
    <row r="19" spans="1:6" ht="15.75" thickBot="1">
      <c r="A19" s="1" t="s">
        <v>114</v>
      </c>
      <c r="B19" s="14"/>
      <c r="C19" s="15"/>
      <c r="E19" s="20">
        <f>B19+6</f>
        <v>6</v>
      </c>
    </row>
    <row r="20" spans="1:6" ht="15.75" hidden="1" thickBot="1">
      <c r="A20" s="1" t="s">
        <v>115</v>
      </c>
      <c r="B20" s="14"/>
      <c r="C20" s="15"/>
      <c r="E20" s="27">
        <f>B20+1</f>
        <v>1</v>
      </c>
      <c r="F20" t="s">
        <v>185</v>
      </c>
    </row>
    <row r="21" spans="1:6" ht="15.75" thickBot="1">
      <c r="A21" s="1" t="s">
        <v>116</v>
      </c>
      <c r="B21" s="14"/>
      <c r="C21" s="15"/>
      <c r="E21" s="20">
        <f>B21+25</f>
        <v>25</v>
      </c>
    </row>
    <row r="22" spans="1:6" ht="15.75" thickBot="1">
      <c r="A22" s="1" t="s">
        <v>117</v>
      </c>
      <c r="B22" s="14"/>
      <c r="C22" s="15"/>
      <c r="E22" s="20">
        <f>B22+6</f>
        <v>6</v>
      </c>
    </row>
    <row r="23" spans="1:6" ht="15.75" hidden="1" thickBot="1">
      <c r="A23" s="1" t="s">
        <v>118</v>
      </c>
      <c r="B23" s="14"/>
      <c r="C23" s="15"/>
      <c r="E23" s="27">
        <f>B23+1</f>
        <v>1</v>
      </c>
      <c r="F23" t="s">
        <v>185</v>
      </c>
    </row>
    <row r="24" spans="1:6" ht="15.75" thickBot="1">
      <c r="A24" s="1" t="s">
        <v>119</v>
      </c>
      <c r="B24" s="14"/>
      <c r="C24" s="15"/>
      <c r="E24" s="20">
        <f>B24+25</f>
        <v>25</v>
      </c>
    </row>
    <row r="25" spans="1:6" ht="15.75" thickBot="1">
      <c r="A25" s="1" t="s">
        <v>120</v>
      </c>
      <c r="B25" s="14"/>
      <c r="C25" s="15"/>
      <c r="E25" s="20">
        <f>B25+6</f>
        <v>6</v>
      </c>
    </row>
    <row r="26" spans="1:6" ht="15.75" hidden="1" thickBot="1">
      <c r="A26" s="1" t="s">
        <v>121</v>
      </c>
      <c r="B26" s="14"/>
      <c r="C26" s="15"/>
      <c r="E26" s="27">
        <f>B26+1</f>
        <v>1</v>
      </c>
      <c r="F26" t="s">
        <v>185</v>
      </c>
    </row>
    <row r="27" spans="1:6" ht="15.75" thickBot="1">
      <c r="A27" s="1" t="s">
        <v>122</v>
      </c>
      <c r="B27" s="14"/>
      <c r="C27" s="15"/>
      <c r="E27" s="20">
        <f>B27+25</f>
        <v>25</v>
      </c>
    </row>
    <row r="28" spans="1:6" ht="15.75" thickBot="1">
      <c r="A28" s="1" t="s">
        <v>208</v>
      </c>
      <c r="B28" s="14"/>
      <c r="C28" s="15"/>
      <c r="E28" s="20"/>
    </row>
    <row r="29" spans="1:6" ht="15.75" thickBot="1">
      <c r="A29" s="1" t="s">
        <v>123</v>
      </c>
      <c r="B29" s="14"/>
      <c r="C29" s="15"/>
      <c r="E29" s="20">
        <f t="shared" ref="E29:E40" si="0">B29+3</f>
        <v>3</v>
      </c>
    </row>
    <row r="30" spans="1:6" ht="15" customHeight="1" thickBot="1">
      <c r="A30" s="1" t="s">
        <v>124</v>
      </c>
      <c r="B30" s="14"/>
      <c r="C30" s="15"/>
      <c r="E30" s="20">
        <f t="shared" si="0"/>
        <v>3</v>
      </c>
    </row>
    <row r="31" spans="1:6" ht="15.75" thickBot="1">
      <c r="A31" s="3" t="s">
        <v>125</v>
      </c>
      <c r="B31" s="14"/>
      <c r="C31" s="15"/>
      <c r="E31" s="20">
        <f t="shared" si="0"/>
        <v>3</v>
      </c>
    </row>
    <row r="32" spans="1:6" ht="15.75" thickBot="1">
      <c r="A32" s="3" t="s">
        <v>126</v>
      </c>
      <c r="B32" s="14"/>
      <c r="C32" s="15"/>
      <c r="E32" s="20">
        <f t="shared" si="0"/>
        <v>3</v>
      </c>
    </row>
    <row r="33" spans="1:5" ht="15.75" thickBot="1">
      <c r="A33" s="3" t="s">
        <v>205</v>
      </c>
      <c r="B33" s="14"/>
      <c r="C33" s="15"/>
      <c r="E33" s="20"/>
    </row>
    <row r="34" spans="1:5" ht="15.75" thickBot="1">
      <c r="A34" s="3" t="s">
        <v>127</v>
      </c>
      <c r="B34" s="14"/>
      <c r="C34" s="15"/>
      <c r="E34" s="20">
        <f t="shared" si="0"/>
        <v>3</v>
      </c>
    </row>
    <row r="35" spans="1:5" ht="17.25" customHeight="1" thickBot="1">
      <c r="A35" s="1" t="s">
        <v>128</v>
      </c>
      <c r="B35" s="14"/>
      <c r="C35" s="15"/>
      <c r="E35" s="20">
        <f t="shared" si="0"/>
        <v>3</v>
      </c>
    </row>
    <row r="36" spans="1:5" ht="16.5" customHeight="1" thickBot="1">
      <c r="A36" s="16" t="s">
        <v>129</v>
      </c>
      <c r="B36" s="14"/>
      <c r="C36" s="15"/>
      <c r="E36" s="20">
        <f t="shared" si="0"/>
        <v>3</v>
      </c>
    </row>
    <row r="37" spans="1:5" ht="16.5" customHeight="1" thickBot="1">
      <c r="A37" s="16" t="s">
        <v>176</v>
      </c>
      <c r="B37" s="14"/>
      <c r="C37" s="15"/>
      <c r="E37" s="20">
        <f t="shared" si="0"/>
        <v>3</v>
      </c>
    </row>
    <row r="38" spans="1:5" ht="16.5" customHeight="1" thickBot="1">
      <c r="A38" s="16" t="s">
        <v>177</v>
      </c>
      <c r="B38" s="14"/>
      <c r="C38" s="15"/>
      <c r="E38" s="20">
        <f t="shared" si="0"/>
        <v>3</v>
      </c>
    </row>
    <row r="39" spans="1:5" ht="15.75" thickBot="1">
      <c r="A39" s="3" t="s">
        <v>130</v>
      </c>
      <c r="B39" s="14"/>
      <c r="C39" s="15"/>
      <c r="E39" s="20">
        <f t="shared" si="0"/>
        <v>3</v>
      </c>
    </row>
    <row r="40" spans="1:5" ht="15.75" thickBot="1">
      <c r="A40" s="3" t="s">
        <v>131</v>
      </c>
      <c r="B40" s="14"/>
      <c r="C40" s="15"/>
      <c r="E40" s="20">
        <f t="shared" si="0"/>
        <v>3</v>
      </c>
    </row>
    <row r="41" spans="1:5" ht="15.75" thickBot="1">
      <c r="A41" s="3" t="s">
        <v>199</v>
      </c>
      <c r="B41" s="14"/>
      <c r="C41" s="15"/>
      <c r="E41" s="20"/>
    </row>
    <row r="42" spans="1:5" ht="15.75" thickBot="1">
      <c r="A42" s="3" t="s">
        <v>200</v>
      </c>
      <c r="B42" s="14"/>
      <c r="C42" s="15"/>
      <c r="E42" s="20"/>
    </row>
    <row r="43" spans="1:5" ht="15.75" thickBot="1">
      <c r="A43" s="3" t="s">
        <v>201</v>
      </c>
      <c r="B43" s="14"/>
      <c r="C43" s="15"/>
      <c r="E43" s="20"/>
    </row>
    <row r="44" spans="1:5" ht="15.75" thickBot="1">
      <c r="A44" s="3" t="s">
        <v>202</v>
      </c>
      <c r="B44" s="14"/>
      <c r="C44" s="15"/>
      <c r="E44" s="20"/>
    </row>
    <row r="45" spans="1:5" ht="15.75" thickBot="1">
      <c r="A45" s="3" t="s">
        <v>203</v>
      </c>
      <c r="B45" s="14"/>
      <c r="C45" s="15"/>
      <c r="E45" s="20"/>
    </row>
    <row r="46" spans="1:5" ht="15.75" thickBot="1">
      <c r="A46" s="3" t="s">
        <v>212</v>
      </c>
      <c r="B46" s="14"/>
      <c r="C46" s="15"/>
      <c r="E46" s="20"/>
    </row>
    <row r="47" spans="1:5" ht="15.75" thickBot="1">
      <c r="A47" s="3" t="s">
        <v>204</v>
      </c>
      <c r="B47" s="14"/>
      <c r="C47" s="15"/>
      <c r="E47" s="20"/>
    </row>
    <row r="48" spans="1:5" ht="15.75" thickBot="1">
      <c r="A48" s="3" t="s">
        <v>180</v>
      </c>
      <c r="B48" s="14"/>
      <c r="C48" s="15"/>
      <c r="E48" s="20">
        <f>B48+4</f>
        <v>4</v>
      </c>
    </row>
    <row r="49" spans="1:6" ht="15.75" hidden="1" thickBot="1">
      <c r="A49" s="3" t="s">
        <v>182</v>
      </c>
      <c r="B49" s="14"/>
      <c r="C49" s="15"/>
      <c r="E49" s="27">
        <f>B49+1</f>
        <v>1</v>
      </c>
      <c r="F49" t="s">
        <v>185</v>
      </c>
    </row>
    <row r="50" spans="1:6" ht="15.75" thickBot="1">
      <c r="A50" s="3" t="s">
        <v>181</v>
      </c>
      <c r="B50" s="14"/>
      <c r="C50" s="15"/>
      <c r="E50" s="20">
        <f>B50+4</f>
        <v>4</v>
      </c>
    </row>
    <row r="51" spans="1:6" ht="15.75" hidden="1" thickBot="1">
      <c r="A51" s="3" t="s">
        <v>183</v>
      </c>
      <c r="B51" s="14"/>
      <c r="C51" s="15"/>
      <c r="E51" s="27">
        <f>B51+1</f>
        <v>1</v>
      </c>
      <c r="F51" t="s">
        <v>185</v>
      </c>
    </row>
    <row r="52" spans="1:6" ht="15.75" thickBot="1">
      <c r="A52" s="3" t="s">
        <v>132</v>
      </c>
      <c r="B52" s="14"/>
      <c r="C52" s="15"/>
      <c r="E52" s="20">
        <f>B52+3</f>
        <v>3</v>
      </c>
    </row>
    <row r="53" spans="1:6" ht="15.75" thickBot="1">
      <c r="A53" s="3" t="s">
        <v>133</v>
      </c>
      <c r="B53" s="14"/>
      <c r="C53" s="15"/>
      <c r="E53" s="20">
        <f>B53+4</f>
        <v>4</v>
      </c>
    </row>
    <row r="54" spans="1:6" ht="15.75" thickBot="1">
      <c r="A54" s="3" t="s">
        <v>134</v>
      </c>
      <c r="B54" s="14"/>
      <c r="C54" s="15"/>
      <c r="E54" s="20">
        <f>B54+3</f>
        <v>3</v>
      </c>
    </row>
    <row r="55" spans="1:6" ht="15.75" hidden="1" thickBot="1">
      <c r="A55" s="1" t="s">
        <v>135</v>
      </c>
      <c r="B55" s="14"/>
      <c r="C55" s="15"/>
      <c r="E55" s="20">
        <f>B55+25</f>
        <v>25</v>
      </c>
    </row>
    <row r="56" spans="1:6" ht="15.75" thickBot="1">
      <c r="A56" s="1" t="s">
        <v>179</v>
      </c>
      <c r="B56" s="14"/>
      <c r="C56" s="15"/>
      <c r="E56" s="20">
        <f>B56+3</f>
        <v>3</v>
      </c>
    </row>
    <row r="57" spans="1:6" ht="15.75" thickBot="1">
      <c r="A57" s="1" t="s">
        <v>136</v>
      </c>
      <c r="B57" s="14"/>
      <c r="C57" s="15"/>
      <c r="E57" s="20">
        <f>B57+25</f>
        <v>25</v>
      </c>
    </row>
    <row r="58" spans="1:6" ht="15.75" hidden="1" thickBot="1">
      <c r="A58" s="3" t="s">
        <v>137</v>
      </c>
      <c r="B58" s="14"/>
      <c r="C58" s="15"/>
      <c r="E58" s="27">
        <f>B58+1</f>
        <v>1</v>
      </c>
      <c r="F58" t="s">
        <v>185</v>
      </c>
    </row>
    <row r="59" spans="1:6" ht="15.75" thickBot="1">
      <c r="A59" s="3" t="s">
        <v>217</v>
      </c>
      <c r="B59" s="14"/>
      <c r="C59" s="15"/>
      <c r="E59" s="20">
        <f>B59+3</f>
        <v>3</v>
      </c>
    </row>
    <row r="60" spans="1:6" ht="15.75" hidden="1" thickBot="1">
      <c r="A60" s="3" t="s">
        <v>138</v>
      </c>
      <c r="B60" s="14"/>
      <c r="C60" s="15"/>
      <c r="E60" s="20">
        <f>B60+4</f>
        <v>4</v>
      </c>
    </row>
    <row r="61" spans="1:6" ht="15.75" hidden="1" thickBot="1">
      <c r="A61" s="3" t="s">
        <v>138</v>
      </c>
      <c r="B61" s="14"/>
      <c r="C61" s="15"/>
      <c r="E61" s="20">
        <f>B61+1</f>
        <v>1</v>
      </c>
      <c r="F61" t="s">
        <v>185</v>
      </c>
    </row>
    <row r="62" spans="1:6" ht="15.75" hidden="1" thickBot="1">
      <c r="A62" s="3" t="s">
        <v>138</v>
      </c>
      <c r="B62" s="14"/>
      <c r="C62" s="15"/>
      <c r="E62" s="20">
        <f>B62+6</f>
        <v>6</v>
      </c>
    </row>
    <row r="63" spans="1:6" ht="15.75" hidden="1" thickBot="1">
      <c r="A63" s="3" t="s">
        <v>138</v>
      </c>
      <c r="B63" s="14"/>
      <c r="C63" s="15"/>
      <c r="E63" s="27">
        <f>B63+1</f>
        <v>1</v>
      </c>
      <c r="F63" t="s">
        <v>185</v>
      </c>
    </row>
    <row r="64" spans="1:6" hidden="1">
      <c r="A64" s="3" t="s">
        <v>206</v>
      </c>
      <c r="B64" s="14"/>
      <c r="C64" s="15"/>
      <c r="E64" s="31"/>
    </row>
    <row r="65" spans="1:6" hidden="1">
      <c r="A65" s="3" t="s">
        <v>138</v>
      </c>
      <c r="B65" s="14"/>
      <c r="C65" s="15"/>
    </row>
    <row r="66" spans="1:6" ht="15.75" hidden="1" thickBot="1">
      <c r="A66" s="3" t="s">
        <v>206</v>
      </c>
      <c r="B66" s="14"/>
      <c r="C66" s="15"/>
    </row>
    <row r="67" spans="1:6" ht="15.75" thickBot="1">
      <c r="A67" s="3" t="s">
        <v>144</v>
      </c>
      <c r="B67" s="14"/>
      <c r="C67" s="15"/>
      <c r="E67" s="25">
        <f>B67+6</f>
        <v>6</v>
      </c>
    </row>
    <row r="68" spans="1:6" ht="15.75" hidden="1" thickBot="1">
      <c r="A68" s="3" t="s">
        <v>145</v>
      </c>
      <c r="B68" s="14"/>
      <c r="C68" s="15"/>
      <c r="E68" s="28">
        <f>B68+1</f>
        <v>1</v>
      </c>
      <c r="F68" t="s">
        <v>185</v>
      </c>
    </row>
    <row r="69" spans="1:6" ht="15.75" thickBot="1">
      <c r="A69" s="3" t="s">
        <v>146</v>
      </c>
      <c r="B69" s="14"/>
      <c r="C69" s="15"/>
      <c r="E69" s="24">
        <f>B69+6</f>
        <v>6</v>
      </c>
    </row>
    <row r="70" spans="1:6" ht="13.5" customHeight="1" thickBot="1">
      <c r="A70" s="3" t="s">
        <v>147</v>
      </c>
      <c r="B70" s="14"/>
      <c r="C70" s="15"/>
      <c r="E70" s="20">
        <f>B70+6</f>
        <v>6</v>
      </c>
    </row>
    <row r="71" spans="1:6" ht="15.75" thickBot="1">
      <c r="A71" s="3" t="s">
        <v>148</v>
      </c>
      <c r="B71" s="14"/>
      <c r="C71" s="15"/>
      <c r="E71" s="20">
        <f>B71+6</f>
        <v>6</v>
      </c>
    </row>
    <row r="72" spans="1:6" ht="15.75" hidden="1" thickBot="1">
      <c r="A72" s="3" t="s">
        <v>149</v>
      </c>
      <c r="B72" s="14"/>
      <c r="C72" s="15"/>
      <c r="E72" s="27">
        <f>B72+1</f>
        <v>1</v>
      </c>
      <c r="F72" t="s">
        <v>185</v>
      </c>
    </row>
    <row r="73" spans="1:6" ht="15.75" thickBot="1">
      <c r="A73" s="3" t="s">
        <v>150</v>
      </c>
      <c r="B73" s="14"/>
      <c r="C73" s="15"/>
      <c r="E73" s="20">
        <f>B73+6</f>
        <v>6</v>
      </c>
    </row>
    <row r="74" spans="1:6" ht="15.75" hidden="1" thickBot="1">
      <c r="A74" s="3" t="s">
        <v>151</v>
      </c>
      <c r="B74" s="14"/>
      <c r="C74" s="15"/>
      <c r="E74" s="27">
        <f>B74+1</f>
        <v>1</v>
      </c>
      <c r="F74" t="s">
        <v>185</v>
      </c>
    </row>
    <row r="75" spans="1:6" ht="15.75" thickBot="1">
      <c r="A75" s="3" t="s">
        <v>152</v>
      </c>
      <c r="B75" s="14"/>
      <c r="C75" s="15"/>
      <c r="E75" s="20">
        <f>B75+6</f>
        <v>6</v>
      </c>
    </row>
    <row r="76" spans="1:6" ht="15.75" hidden="1" customHeight="1" thickBot="1">
      <c r="A76" s="3" t="s">
        <v>153</v>
      </c>
      <c r="B76" s="14"/>
      <c r="C76" s="15"/>
      <c r="E76" s="27">
        <f>B76+1</f>
        <v>1</v>
      </c>
      <c r="F76" t="s">
        <v>185</v>
      </c>
    </row>
    <row r="77" spans="1:6" ht="15.75" thickBot="1">
      <c r="A77" s="3" t="s">
        <v>154</v>
      </c>
      <c r="B77" s="14"/>
      <c r="C77" s="15"/>
      <c r="E77" s="20">
        <f>B77+6</f>
        <v>6</v>
      </c>
    </row>
    <row r="78" spans="1:6" ht="15.75" hidden="1" thickBot="1">
      <c r="A78" s="3" t="s">
        <v>155</v>
      </c>
      <c r="B78" s="14"/>
      <c r="C78" s="15"/>
      <c r="E78" s="27">
        <f>B78+1</f>
        <v>1</v>
      </c>
      <c r="F78" t="s">
        <v>185</v>
      </c>
    </row>
    <row r="79" spans="1:6" ht="15.75" thickBot="1">
      <c r="A79" s="3" t="s">
        <v>156</v>
      </c>
      <c r="B79" s="14"/>
      <c r="C79" s="15"/>
      <c r="E79" s="20">
        <f>B79+6</f>
        <v>6</v>
      </c>
    </row>
    <row r="80" spans="1:6" ht="15.75" hidden="1" thickBot="1">
      <c r="A80" s="3" t="s">
        <v>157</v>
      </c>
      <c r="B80" s="14"/>
      <c r="C80" s="15"/>
      <c r="E80" s="27">
        <f>B80+1</f>
        <v>1</v>
      </c>
      <c r="F80" t="s">
        <v>185</v>
      </c>
    </row>
    <row r="81" spans="1:6" ht="15.75" thickBot="1">
      <c r="A81" s="3" t="s">
        <v>158</v>
      </c>
      <c r="B81" s="14"/>
      <c r="C81" s="15"/>
      <c r="E81" s="20">
        <f>B81+20</f>
        <v>20</v>
      </c>
    </row>
    <row r="82" spans="1:6" ht="15.75" hidden="1" thickBot="1">
      <c r="A82" s="3" t="s">
        <v>159</v>
      </c>
      <c r="B82" s="14"/>
      <c r="C82" s="15"/>
      <c r="E82" s="27">
        <f>B82+1</f>
        <v>1</v>
      </c>
      <c r="F82" t="s">
        <v>185</v>
      </c>
    </row>
    <row r="83" spans="1:6" ht="13.5" customHeight="1" thickBot="1">
      <c r="A83" s="3" t="s">
        <v>160</v>
      </c>
      <c r="B83" s="14"/>
      <c r="C83" s="15"/>
      <c r="E83" s="20">
        <f>B83+20</f>
        <v>20</v>
      </c>
    </row>
    <row r="84" spans="1:6" ht="13.5" hidden="1" customHeight="1" thickBot="1">
      <c r="A84" s="3" t="s">
        <v>161</v>
      </c>
      <c r="B84" s="14"/>
      <c r="C84" s="15"/>
      <c r="E84" s="27">
        <f>B84+1</f>
        <v>1</v>
      </c>
      <c r="F84" t="s">
        <v>185</v>
      </c>
    </row>
    <row r="85" spans="1:6" ht="13.5" customHeight="1" thickBot="1">
      <c r="A85" s="3" t="s">
        <v>222</v>
      </c>
      <c r="B85" s="14"/>
      <c r="C85" s="15"/>
      <c r="E85" s="27"/>
    </row>
    <row r="86" spans="1:6" ht="15.75" thickBot="1">
      <c r="A86" s="3" t="s">
        <v>162</v>
      </c>
      <c r="B86" s="14"/>
      <c r="C86" s="15"/>
      <c r="E86" s="20">
        <f>B86+20</f>
        <v>20</v>
      </c>
    </row>
    <row r="87" spans="1:6" ht="15.75" hidden="1" thickBot="1">
      <c r="A87" s="3" t="s">
        <v>163</v>
      </c>
      <c r="B87" s="14"/>
      <c r="C87" s="15"/>
      <c r="E87" s="27">
        <f>B87+1</f>
        <v>1</v>
      </c>
      <c r="F87" t="s">
        <v>185</v>
      </c>
    </row>
    <row r="88" spans="1:6" ht="14.25" customHeight="1" thickBot="1">
      <c r="A88" s="3" t="s">
        <v>164</v>
      </c>
      <c r="B88" s="14"/>
      <c r="C88" s="15"/>
      <c r="E88" s="20">
        <f>B88+6</f>
        <v>6</v>
      </c>
    </row>
    <row r="89" spans="1:6" ht="14.25" hidden="1" customHeight="1" thickBot="1">
      <c r="A89" s="3" t="s">
        <v>165</v>
      </c>
      <c r="B89" s="14"/>
      <c r="C89" s="15"/>
      <c r="E89" s="27">
        <f>B89+1</f>
        <v>1</v>
      </c>
      <c r="F89" t="s">
        <v>185</v>
      </c>
    </row>
    <row r="90" spans="1:6" ht="15.75" thickBot="1">
      <c r="A90" s="3" t="s">
        <v>166</v>
      </c>
      <c r="B90" s="14"/>
      <c r="C90" s="15"/>
      <c r="E90" s="20">
        <f>B90+6</f>
        <v>6</v>
      </c>
    </row>
    <row r="91" spans="1:6" ht="15.75" hidden="1" thickBot="1">
      <c r="A91" s="3" t="s">
        <v>167</v>
      </c>
      <c r="B91" s="14"/>
      <c r="C91" s="15"/>
      <c r="E91" s="27">
        <f>B91+1</f>
        <v>1</v>
      </c>
      <c r="F91" t="s">
        <v>185</v>
      </c>
    </row>
    <row r="92" spans="1:6" ht="15.75" thickBot="1">
      <c r="A92" s="3" t="s">
        <v>168</v>
      </c>
      <c r="B92" s="14"/>
      <c r="C92" s="15"/>
      <c r="E92" s="20">
        <f>B92+6</f>
        <v>6</v>
      </c>
    </row>
    <row r="93" spans="1:6" ht="15.75" hidden="1" thickBot="1">
      <c r="A93" s="3" t="s">
        <v>169</v>
      </c>
      <c r="B93" s="14"/>
      <c r="C93" s="15"/>
      <c r="E93" s="27">
        <f>B93+1</f>
        <v>1</v>
      </c>
      <c r="F93" t="s">
        <v>185</v>
      </c>
    </row>
    <row r="94" spans="1:6" ht="15.75" thickBot="1">
      <c r="A94" s="3" t="s">
        <v>170</v>
      </c>
      <c r="B94" s="14"/>
      <c r="C94" s="15"/>
      <c r="E94" s="20">
        <f>B94+6</f>
        <v>6</v>
      </c>
    </row>
    <row r="95" spans="1:6" ht="15" customHeight="1" thickBot="1">
      <c r="A95" s="3" t="s">
        <v>171</v>
      </c>
      <c r="B95" s="14"/>
      <c r="C95" s="15"/>
      <c r="E95" s="20">
        <f>B95+15</f>
        <v>15</v>
      </c>
    </row>
    <row r="96" spans="1:6" ht="14.25" hidden="1" customHeight="1" thickBot="1">
      <c r="A96" s="3" t="s">
        <v>172</v>
      </c>
      <c r="B96" s="14"/>
      <c r="C96" s="15"/>
      <c r="E96" s="27">
        <f>B96+1</f>
        <v>1</v>
      </c>
      <c r="F96" t="s">
        <v>185</v>
      </c>
    </row>
    <row r="97" spans="1:6" ht="13.5" customHeight="1" thickBot="1">
      <c r="A97" s="3" t="s">
        <v>173</v>
      </c>
      <c r="B97" s="14"/>
      <c r="C97" s="15"/>
      <c r="E97" s="20">
        <f>B97+15</f>
        <v>15</v>
      </c>
    </row>
    <row r="98" spans="1:6" ht="13.5" customHeight="1" thickBot="1">
      <c r="A98" s="3" t="s">
        <v>175</v>
      </c>
      <c r="B98" s="14"/>
      <c r="C98" s="15"/>
      <c r="E98" s="20">
        <f>B98+6</f>
        <v>6</v>
      </c>
    </row>
    <row r="99" spans="1:6" ht="13.5" customHeight="1" thickBot="1">
      <c r="A99" s="3" t="s">
        <v>223</v>
      </c>
      <c r="B99" s="14"/>
      <c r="C99" s="15"/>
      <c r="E99" s="20">
        <f>B99+1</f>
        <v>1</v>
      </c>
      <c r="F99" t="s">
        <v>185</v>
      </c>
    </row>
    <row r="100" spans="1:6" ht="13.5" hidden="1" customHeight="1" thickBot="1">
      <c r="A100" s="3"/>
      <c r="B100" s="14"/>
      <c r="C100" s="15"/>
      <c r="E100" s="20">
        <f>B100+6</f>
        <v>6</v>
      </c>
    </row>
    <row r="101" spans="1:6" ht="15.75" hidden="1" customHeight="1" thickBot="1">
      <c r="A101" s="3"/>
      <c r="B101" s="14">
        <v>44318</v>
      </c>
      <c r="C101" s="15">
        <v>0.33333333333333331</v>
      </c>
      <c r="E101" s="27">
        <f>B101+1</f>
        <v>44319</v>
      </c>
      <c r="F101" t="s">
        <v>185</v>
      </c>
    </row>
  </sheetData>
  <mergeCells count="4">
    <mergeCell ref="B1:C1"/>
    <mergeCell ref="B2:C2"/>
    <mergeCell ref="B3:C3"/>
    <mergeCell ref="A6:C6"/>
  </mergeCells>
  <conditionalFormatting sqref="E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scale="66" orientation="portrait" blackAndWhite="1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081CE-84DE-4A12-8024-71B4144C4D19}">
  <sheetPr codeName="Q9">
    <tabColor theme="0"/>
    <pageSetUpPr fitToPage="1"/>
  </sheetPr>
  <dimension ref="A1:N71"/>
  <sheetViews>
    <sheetView view="pageBreakPreview" zoomScale="130" zoomScaleNormal="120" zoomScaleSheetLayoutView="130" workbookViewId="0">
      <selection activeCell="C69" sqref="C69:C71"/>
    </sheetView>
  </sheetViews>
  <sheetFormatPr defaultRowHeight="15"/>
  <cols>
    <col min="1" max="1" width="99.5703125" bestFit="1" customWidth="1"/>
    <col min="2" max="2" width="25.7109375" customWidth="1"/>
    <col min="3" max="3" width="31.7109375" customWidth="1"/>
    <col min="4" max="4" width="13" hidden="1" customWidth="1"/>
    <col min="5" max="5" width="58" customWidth="1"/>
  </cols>
  <sheetData>
    <row r="1" spans="1:14" ht="35.25" customHeight="1">
      <c r="A1" s="9"/>
      <c r="B1" s="332"/>
      <c r="C1" s="332"/>
      <c r="N1" t="s">
        <v>225</v>
      </c>
    </row>
    <row r="2" spans="1:14" ht="15.75" customHeight="1">
      <c r="A2" s="9"/>
      <c r="B2" s="333" t="s">
        <v>0</v>
      </c>
      <c r="C2" s="333"/>
    </row>
    <row r="3" spans="1:14" ht="34.5" customHeight="1">
      <c r="A3" s="9"/>
      <c r="B3" s="333" t="str">
        <f>'Тека ГП'!B3:C3</f>
        <v>Начальник мясного цеха 
Пискунов.А.А</v>
      </c>
      <c r="C3" s="333"/>
      <c r="D3" s="46"/>
    </row>
    <row r="4" spans="1:14" ht="16.5" customHeight="1">
      <c r="A4" s="9"/>
      <c r="B4" s="36" t="s">
        <v>5</v>
      </c>
      <c r="C4" s="37">
        <f ca="1">'Тека ГП'!$C$4</f>
        <v>46211</v>
      </c>
    </row>
    <row r="5" spans="1:14" ht="17.25" customHeight="1">
      <c r="A5" s="9"/>
      <c r="B5" s="43"/>
      <c r="C5" s="36"/>
    </row>
    <row r="6" spans="1:14" ht="39.75" customHeight="1">
      <c r="A6" s="334" t="s">
        <v>186</v>
      </c>
      <c r="B6" s="335"/>
      <c r="C6" s="335"/>
    </row>
    <row r="7" spans="1:14" ht="21">
      <c r="A7" s="5" t="s">
        <v>2</v>
      </c>
      <c r="B7" s="6" t="s">
        <v>9</v>
      </c>
      <c r="C7" s="6" t="s">
        <v>8</v>
      </c>
      <c r="D7" s="45"/>
    </row>
    <row r="8" spans="1:14">
      <c r="A8" s="1" t="s">
        <v>104</v>
      </c>
      <c r="B8" s="66">
        <f t="shared" ref="B8:B9" ca="1" si="0">TODAY()</f>
        <v>46211</v>
      </c>
      <c r="C8" s="35">
        <v>0.33333333333333331</v>
      </c>
    </row>
    <row r="9" spans="1:14" hidden="1">
      <c r="A9" s="1" t="s">
        <v>105</v>
      </c>
      <c r="B9" s="67">
        <f t="shared" ca="1" si="0"/>
        <v>46211</v>
      </c>
      <c r="C9" s="35">
        <v>0.25</v>
      </c>
    </row>
    <row r="10" spans="1:14">
      <c r="A10" s="1" t="s">
        <v>192</v>
      </c>
      <c r="B10" s="66">
        <f ca="1">TODAY()</f>
        <v>46211</v>
      </c>
      <c r="C10" s="35">
        <v>0.33333333333333331</v>
      </c>
    </row>
    <row r="11" spans="1:14">
      <c r="A11" s="1" t="s">
        <v>191</v>
      </c>
      <c r="B11" s="66">
        <f ca="1">TODAY()</f>
        <v>46211</v>
      </c>
      <c r="C11" s="35">
        <v>0.33333333333333331</v>
      </c>
    </row>
    <row r="12" spans="1:14">
      <c r="A12" s="1" t="s">
        <v>232</v>
      </c>
      <c r="B12" s="66">
        <f ca="1">TODAY()</f>
        <v>46211</v>
      </c>
      <c r="C12" s="35">
        <v>0.33333333333333331</v>
      </c>
    </row>
    <row r="13" spans="1:14" hidden="1">
      <c r="A13" s="1" t="s">
        <v>109</v>
      </c>
      <c r="B13" s="66">
        <f ca="1">TODAY()</f>
        <v>46211</v>
      </c>
      <c r="C13" s="35">
        <v>0.33333333333333331</v>
      </c>
    </row>
    <row r="14" spans="1:14" hidden="1">
      <c r="A14" s="1" t="s">
        <v>110</v>
      </c>
      <c r="B14" s="66">
        <v>44764</v>
      </c>
      <c r="C14" s="35">
        <v>0.58888888888888891</v>
      </c>
    </row>
    <row r="15" spans="1:14">
      <c r="A15" s="1" t="s">
        <v>193</v>
      </c>
      <c r="B15" s="66">
        <f ca="1">TODAY()</f>
        <v>46211</v>
      </c>
      <c r="C15" s="35">
        <v>0.33333333333333331</v>
      </c>
    </row>
    <row r="16" spans="1:14">
      <c r="A16" s="1" t="s">
        <v>112</v>
      </c>
      <c r="B16" s="66">
        <f ca="1">TODAY()</f>
        <v>46211</v>
      </c>
      <c r="C16" s="35">
        <v>0.33333333333333331</v>
      </c>
    </row>
    <row r="17" spans="1:3" hidden="1">
      <c r="A17" s="1" t="s">
        <v>113</v>
      </c>
      <c r="B17" s="66">
        <v>44604</v>
      </c>
      <c r="C17" s="35">
        <v>0.58888888888888891</v>
      </c>
    </row>
    <row r="18" spans="1:3">
      <c r="A18" s="1" t="s">
        <v>194</v>
      </c>
      <c r="B18" s="66">
        <f ca="1">TODAY()</f>
        <v>46211</v>
      </c>
      <c r="C18" s="35">
        <v>0.33333333333333331</v>
      </c>
    </row>
    <row r="19" spans="1:3" hidden="1">
      <c r="A19" s="1" t="s">
        <v>115</v>
      </c>
      <c r="B19" s="68">
        <f ca="1">TODAY()</f>
        <v>46211</v>
      </c>
      <c r="C19" s="35">
        <v>0.33333333333333331</v>
      </c>
    </row>
    <row r="20" spans="1:3" hidden="1">
      <c r="A20" s="1" t="s">
        <v>116</v>
      </c>
      <c r="B20" s="66">
        <v>44764</v>
      </c>
      <c r="C20" s="35">
        <v>0.58888888888888891</v>
      </c>
    </row>
    <row r="21" spans="1:3">
      <c r="A21" s="1" t="s">
        <v>195</v>
      </c>
      <c r="B21" s="66">
        <f ca="1">TODAY()</f>
        <v>46211</v>
      </c>
      <c r="C21" s="35">
        <v>0.33333333333333331</v>
      </c>
    </row>
    <row r="22" spans="1:3">
      <c r="A22" s="1" t="s">
        <v>118</v>
      </c>
      <c r="B22" s="66">
        <f ca="1">TODAY()</f>
        <v>46211</v>
      </c>
      <c r="C22" s="35">
        <v>0.33333333333333331</v>
      </c>
    </row>
    <row r="23" spans="1:3" hidden="1">
      <c r="A23" s="1" t="s">
        <v>119</v>
      </c>
      <c r="B23" s="66">
        <v>44969</v>
      </c>
      <c r="C23" s="35">
        <v>0.69166666666666676</v>
      </c>
    </row>
    <row r="24" spans="1:3">
      <c r="A24" s="1" t="s">
        <v>196</v>
      </c>
      <c r="B24" s="66">
        <f ca="1">TODAY()</f>
        <v>46211</v>
      </c>
      <c r="C24" s="35">
        <v>0.33333333333333331</v>
      </c>
    </row>
    <row r="25" spans="1:3">
      <c r="A25" s="1" t="s">
        <v>121</v>
      </c>
      <c r="B25" s="66">
        <f ca="1">TODAY()</f>
        <v>46211</v>
      </c>
      <c r="C25" s="35">
        <v>0.33333333333333331</v>
      </c>
    </row>
    <row r="26" spans="1:3" hidden="1">
      <c r="A26" s="1" t="s">
        <v>122</v>
      </c>
      <c r="B26" s="66">
        <v>44764</v>
      </c>
      <c r="C26" s="35">
        <v>0.58888888888888891</v>
      </c>
    </row>
    <row r="27" spans="1:3">
      <c r="A27" s="1" t="s">
        <v>197</v>
      </c>
      <c r="B27" s="66">
        <f ca="1">TODAY()</f>
        <v>46211</v>
      </c>
      <c r="C27" s="35">
        <v>0.33333333333333331</v>
      </c>
    </row>
    <row r="28" spans="1:3" hidden="1">
      <c r="A28" s="1" t="s">
        <v>208</v>
      </c>
      <c r="B28" s="66">
        <v>44769</v>
      </c>
      <c r="C28" s="35">
        <v>0.60069444444444442</v>
      </c>
    </row>
    <row r="29" spans="1:3">
      <c r="A29" s="1" t="s">
        <v>211</v>
      </c>
      <c r="B29" s="66">
        <f ca="1">TODAY()</f>
        <v>46211</v>
      </c>
      <c r="C29" s="35">
        <v>0.33333333333333331</v>
      </c>
    </row>
    <row r="30" spans="1:3" hidden="1">
      <c r="A30" s="1" t="s">
        <v>233</v>
      </c>
      <c r="B30" s="66">
        <f ca="1">TODAY()</f>
        <v>46211</v>
      </c>
      <c r="C30" s="35">
        <v>0.33333333333333331</v>
      </c>
    </row>
    <row r="31" spans="1:3" ht="16.5" customHeight="1">
      <c r="A31" s="16" t="s">
        <v>218</v>
      </c>
      <c r="B31" s="66">
        <f t="shared" ref="B31:B39" ca="1" si="1">TODAY()</f>
        <v>46211</v>
      </c>
      <c r="C31" s="35">
        <v>0.33333333333333331</v>
      </c>
    </row>
    <row r="32" spans="1:3" hidden="1">
      <c r="A32" s="3" t="s">
        <v>199</v>
      </c>
      <c r="B32" s="66">
        <f t="shared" ca="1" si="1"/>
        <v>46211</v>
      </c>
      <c r="C32" s="35">
        <v>0.33333333333333331</v>
      </c>
    </row>
    <row r="33" spans="1:3" hidden="1">
      <c r="A33" s="3" t="s">
        <v>200</v>
      </c>
      <c r="B33" s="66">
        <f t="shared" ca="1" si="1"/>
        <v>46211</v>
      </c>
      <c r="C33" s="35">
        <v>0.33333333333333331</v>
      </c>
    </row>
    <row r="34" spans="1:3" hidden="1">
      <c r="A34" s="3" t="s">
        <v>201</v>
      </c>
      <c r="B34" s="66">
        <f t="shared" ca="1" si="1"/>
        <v>46211</v>
      </c>
      <c r="C34" s="35">
        <v>0.33333333333333331</v>
      </c>
    </row>
    <row r="35" spans="1:3" hidden="1">
      <c r="A35" s="3" t="s">
        <v>202</v>
      </c>
      <c r="B35" s="66">
        <f t="shared" ca="1" si="1"/>
        <v>46211</v>
      </c>
      <c r="C35" s="35">
        <v>0.33333333333333331</v>
      </c>
    </row>
    <row r="36" spans="1:3" hidden="1">
      <c r="A36" s="3" t="s">
        <v>203</v>
      </c>
      <c r="B36" s="66">
        <f t="shared" ca="1" si="1"/>
        <v>46211</v>
      </c>
      <c r="C36" s="35">
        <v>0.33333333333333331</v>
      </c>
    </row>
    <row r="37" spans="1:3" hidden="1">
      <c r="A37" s="3" t="s">
        <v>212</v>
      </c>
      <c r="B37" s="66">
        <f t="shared" ca="1" si="1"/>
        <v>46211</v>
      </c>
      <c r="C37" s="35">
        <v>0.33333333333333331</v>
      </c>
    </row>
    <row r="38" spans="1:3" hidden="1">
      <c r="A38" s="3" t="s">
        <v>204</v>
      </c>
      <c r="B38" s="66">
        <f t="shared" ca="1" si="1"/>
        <v>46211</v>
      </c>
      <c r="C38" s="35">
        <v>0.33333333333333331</v>
      </c>
    </row>
    <row r="39" spans="1:3">
      <c r="A39" s="3" t="s">
        <v>219</v>
      </c>
      <c r="B39" s="66">
        <f t="shared" ca="1" si="1"/>
        <v>46211</v>
      </c>
      <c r="C39" s="35">
        <v>0.33333333333333331</v>
      </c>
    </row>
    <row r="40" spans="1:3">
      <c r="A40" s="3" t="s">
        <v>182</v>
      </c>
      <c r="B40" s="66">
        <f ca="1">TODAY()</f>
        <v>46211</v>
      </c>
      <c r="C40" s="35">
        <v>0.33333333333333331</v>
      </c>
    </row>
    <row r="41" spans="1:3">
      <c r="A41" s="3" t="s">
        <v>183</v>
      </c>
      <c r="B41" s="66">
        <f ca="1">TODAY()</f>
        <v>46211</v>
      </c>
      <c r="C41" s="35">
        <v>0.33333333333333331</v>
      </c>
    </row>
    <row r="42" spans="1:3">
      <c r="A42" s="3" t="s">
        <v>137</v>
      </c>
      <c r="B42" s="66">
        <f ca="1">TODAY()</f>
        <v>46211</v>
      </c>
      <c r="C42" s="35">
        <v>0.33333333333333331</v>
      </c>
    </row>
    <row r="43" spans="1:3" hidden="1">
      <c r="A43" s="1" t="s">
        <v>139</v>
      </c>
      <c r="B43" s="67">
        <v>45128</v>
      </c>
      <c r="C43" s="35"/>
    </row>
    <row r="44" spans="1:3" hidden="1">
      <c r="A44" s="1" t="s">
        <v>140</v>
      </c>
      <c r="B44" s="67">
        <v>45128</v>
      </c>
      <c r="C44" s="35"/>
    </row>
    <row r="45" spans="1:3" hidden="1">
      <c r="A45" s="29" t="s">
        <v>141</v>
      </c>
      <c r="B45" s="67">
        <v>45128</v>
      </c>
      <c r="C45" s="35"/>
    </row>
    <row r="46" spans="1:3" hidden="1">
      <c r="A46" s="1" t="s">
        <v>142</v>
      </c>
      <c r="B46" s="67">
        <v>45128</v>
      </c>
      <c r="C46" s="35"/>
    </row>
    <row r="47" spans="1:3" hidden="1">
      <c r="A47" s="3" t="s">
        <v>143</v>
      </c>
      <c r="B47" s="67">
        <v>45128</v>
      </c>
      <c r="C47" s="35"/>
    </row>
    <row r="48" spans="1:3" hidden="1">
      <c r="A48" s="3" t="s">
        <v>206</v>
      </c>
      <c r="B48" s="67">
        <v>45128</v>
      </c>
      <c r="C48" s="35">
        <v>0.63055555555555598</v>
      </c>
    </row>
    <row r="49" spans="1:11" hidden="1">
      <c r="A49" s="3" t="s">
        <v>206</v>
      </c>
      <c r="B49" s="67">
        <v>45128</v>
      </c>
      <c r="C49" s="35">
        <v>0.50763888888888886</v>
      </c>
    </row>
    <row r="50" spans="1:11">
      <c r="A50" s="3" t="s">
        <v>145</v>
      </c>
      <c r="B50" s="66">
        <f t="shared" ref="B50:B58" ca="1" si="2">TODAY()</f>
        <v>46211</v>
      </c>
      <c r="C50" s="35">
        <v>0.33333333333333331</v>
      </c>
    </row>
    <row r="51" spans="1:11">
      <c r="A51" s="3" t="s">
        <v>149</v>
      </c>
      <c r="B51" s="66">
        <f t="shared" ca="1" si="2"/>
        <v>46211</v>
      </c>
      <c r="C51" s="35">
        <v>0.33333333333333331</v>
      </c>
    </row>
    <row r="52" spans="1:11">
      <c r="A52" s="3" t="s">
        <v>151</v>
      </c>
      <c r="B52" s="66">
        <f t="shared" ca="1" si="2"/>
        <v>46211</v>
      </c>
      <c r="C52" s="35">
        <v>0.33333333333333331</v>
      </c>
    </row>
    <row r="53" spans="1:11" ht="15" customHeight="1">
      <c r="A53" s="3" t="s">
        <v>153</v>
      </c>
      <c r="B53" s="66">
        <f t="shared" ca="1" si="2"/>
        <v>46211</v>
      </c>
      <c r="C53" s="35">
        <v>0.33333333333333331</v>
      </c>
    </row>
    <row r="54" spans="1:11">
      <c r="A54" s="3" t="s">
        <v>155</v>
      </c>
      <c r="B54" s="66">
        <f t="shared" ca="1" si="2"/>
        <v>46211</v>
      </c>
      <c r="C54" s="35">
        <v>0.33333333333333331</v>
      </c>
    </row>
    <row r="55" spans="1:11">
      <c r="A55" s="3" t="s">
        <v>157</v>
      </c>
      <c r="B55" s="66">
        <f t="shared" ca="1" si="2"/>
        <v>46211</v>
      </c>
      <c r="C55" s="35">
        <v>0.33333333333333331</v>
      </c>
    </row>
    <row r="56" spans="1:11">
      <c r="A56" s="3" t="s">
        <v>159</v>
      </c>
      <c r="B56" s="66">
        <f t="shared" ca="1" si="2"/>
        <v>46211</v>
      </c>
      <c r="C56" s="35">
        <v>0.33333333333333331</v>
      </c>
    </row>
    <row r="57" spans="1:11" ht="13.5" customHeight="1">
      <c r="A57" s="3" t="s">
        <v>161</v>
      </c>
      <c r="B57" s="66">
        <f t="shared" ca="1" si="2"/>
        <v>46211</v>
      </c>
      <c r="C57" s="35">
        <v>0.33333333333333331</v>
      </c>
    </row>
    <row r="58" spans="1:11" ht="13.5" hidden="1" customHeight="1">
      <c r="A58" s="41" t="s">
        <v>221</v>
      </c>
      <c r="B58" s="66">
        <f t="shared" ca="1" si="2"/>
        <v>46211</v>
      </c>
      <c r="C58" s="35">
        <v>0.33333333333333331</v>
      </c>
    </row>
    <row r="59" spans="1:11" hidden="1">
      <c r="A59" s="3" t="s">
        <v>220</v>
      </c>
      <c r="B59" s="67">
        <v>45088</v>
      </c>
      <c r="C59" s="35">
        <v>0.68402777777777779</v>
      </c>
    </row>
    <row r="60" spans="1:11" hidden="1">
      <c r="A60" s="3" t="s">
        <v>221</v>
      </c>
      <c r="B60" s="69">
        <f t="shared" ref="B60:B71" ca="1" si="3">TODAY()</f>
        <v>46211</v>
      </c>
      <c r="C60" s="35">
        <v>0.33333333333333331</v>
      </c>
    </row>
    <row r="61" spans="1:11">
      <c r="A61" s="3" t="s">
        <v>163</v>
      </c>
      <c r="B61" s="66">
        <f t="shared" ca="1" si="3"/>
        <v>46211</v>
      </c>
      <c r="C61" s="35">
        <v>0.33333333333333331</v>
      </c>
    </row>
    <row r="62" spans="1:11" ht="14.25" customHeight="1">
      <c r="A62" s="3" t="s">
        <v>165</v>
      </c>
      <c r="B62" s="66">
        <f t="shared" ca="1" si="3"/>
        <v>46211</v>
      </c>
      <c r="C62" s="35">
        <v>0.33333333333333331</v>
      </c>
    </row>
    <row r="63" spans="1:11">
      <c r="A63" s="3" t="s">
        <v>167</v>
      </c>
      <c r="B63" s="66">
        <f t="shared" ca="1" si="3"/>
        <v>46211</v>
      </c>
      <c r="C63" s="35">
        <v>0.33333333333333331</v>
      </c>
    </row>
    <row r="64" spans="1:11">
      <c r="A64" s="3" t="s">
        <v>169</v>
      </c>
      <c r="B64" s="66">
        <f t="shared" ca="1" si="3"/>
        <v>46211</v>
      </c>
      <c r="C64" s="35">
        <v>0.33333333333333331</v>
      </c>
      <c r="G64" s="340"/>
      <c r="H64" s="340"/>
      <c r="I64" s="340"/>
      <c r="J64" s="340"/>
      <c r="K64" s="340"/>
    </row>
    <row r="65" spans="1:3" ht="14.25" customHeight="1">
      <c r="A65" s="3" t="s">
        <v>172</v>
      </c>
      <c r="B65" s="66">
        <f t="shared" ca="1" si="3"/>
        <v>46211</v>
      </c>
      <c r="C65" s="35">
        <v>0.33333333333333331</v>
      </c>
    </row>
    <row r="66" spans="1:3" ht="13.5" customHeight="1">
      <c r="A66" s="3" t="s">
        <v>224</v>
      </c>
      <c r="B66" s="69">
        <f t="shared" ca="1" si="3"/>
        <v>46211</v>
      </c>
      <c r="C66" s="15">
        <v>0.33333333333333331</v>
      </c>
    </row>
    <row r="67" spans="1:3" ht="15.75" customHeight="1">
      <c r="A67" s="3" t="s">
        <v>174</v>
      </c>
      <c r="B67" s="66">
        <f t="shared" ca="1" si="3"/>
        <v>46211</v>
      </c>
      <c r="C67" s="35">
        <v>0.33333333333333331</v>
      </c>
    </row>
    <row r="68" spans="1:3">
      <c r="A68" s="3" t="s">
        <v>311</v>
      </c>
      <c r="B68" s="66">
        <f t="shared" ca="1" si="3"/>
        <v>46211</v>
      </c>
      <c r="C68" s="35">
        <v>0.33333333333333331</v>
      </c>
    </row>
    <row r="69" spans="1:3">
      <c r="A69" s="3" t="s">
        <v>409</v>
      </c>
      <c r="B69" s="66">
        <f t="shared" ca="1" si="3"/>
        <v>46211</v>
      </c>
      <c r="C69" s="35">
        <v>0.33333333333333331</v>
      </c>
    </row>
    <row r="70" spans="1:3">
      <c r="A70" s="3" t="s">
        <v>410</v>
      </c>
      <c r="B70" s="66">
        <f t="shared" ca="1" si="3"/>
        <v>46211</v>
      </c>
      <c r="C70" s="35">
        <v>0.33333333333333331</v>
      </c>
    </row>
    <row r="71" spans="1:3">
      <c r="A71" s="3" t="s">
        <v>411</v>
      </c>
      <c r="B71" s="66">
        <f t="shared" ca="1" si="3"/>
        <v>46211</v>
      </c>
      <c r="C71" s="35">
        <v>0.33333333333333331</v>
      </c>
    </row>
  </sheetData>
  <mergeCells count="5">
    <mergeCell ref="G64:K64"/>
    <mergeCell ref="B1:C1"/>
    <mergeCell ref="B2:C2"/>
    <mergeCell ref="B3:C3"/>
    <mergeCell ref="A6:C6"/>
  </mergeCells>
  <printOptions horizontalCentered="1"/>
  <pageMargins left="0" right="0" top="0" bottom="0" header="0" footer="0"/>
  <pageSetup paperSize="9" scale="66" orientation="portrait" blackAndWhite="1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3C3F84-513F-4133-A4F2-EB4052B34B44}">
          <x14:formula1>
            <xm:f>BD!$A$2:$A$4</xm:f>
          </x14:formula1>
          <xm:sqref>B3:C3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5980D-AE5E-40DD-94A8-26D159D0D62F}">
  <sheetPr codeName="Q10">
    <tabColor theme="0"/>
    <pageSetUpPr fitToPage="1"/>
  </sheetPr>
  <dimension ref="A1:N71"/>
  <sheetViews>
    <sheetView view="pageBreakPreview" topLeftCell="A15" zoomScale="130" zoomScaleNormal="120" zoomScaleSheetLayoutView="130" workbookViewId="0">
      <selection sqref="A1:XFD1048576"/>
    </sheetView>
  </sheetViews>
  <sheetFormatPr defaultRowHeight="15"/>
  <cols>
    <col min="1" max="1" width="99.5703125" bestFit="1" customWidth="1"/>
    <col min="2" max="2" width="25.7109375" customWidth="1"/>
    <col min="3" max="3" width="31.7109375" customWidth="1"/>
    <col min="4" max="4" width="13" hidden="1" customWidth="1"/>
    <col min="5" max="5" width="58" customWidth="1"/>
  </cols>
  <sheetData>
    <row r="1" spans="1:14" ht="35.25" customHeight="1">
      <c r="A1" s="9"/>
      <c r="B1" s="332"/>
      <c r="C1" s="332"/>
      <c r="N1" t="s">
        <v>225</v>
      </c>
    </row>
    <row r="2" spans="1:14" ht="15.75" customHeight="1">
      <c r="A2" s="9"/>
      <c r="B2" s="333" t="s">
        <v>0</v>
      </c>
      <c r="C2" s="333"/>
    </row>
    <row r="3" spans="1:14" ht="34.5" customHeight="1">
      <c r="A3" s="9"/>
      <c r="B3" s="333" t="str">
        <f>'Тека ГП'!B3:C3</f>
        <v>Начальник мясного цеха 
Пискунов.А.А</v>
      </c>
      <c r="C3" s="333"/>
      <c r="D3" s="260"/>
    </row>
    <row r="4" spans="1:14" ht="16.5" customHeight="1">
      <c r="A4" s="9"/>
      <c r="B4" s="36" t="s">
        <v>5</v>
      </c>
      <c r="C4" s="37">
        <f ca="1">'Тека ГП'!$C$4</f>
        <v>46211</v>
      </c>
    </row>
    <row r="5" spans="1:14" ht="17.25" customHeight="1">
      <c r="A5" s="9"/>
      <c r="B5" s="259"/>
      <c r="C5" s="36"/>
    </row>
    <row r="6" spans="1:14" ht="39.75" customHeight="1">
      <c r="A6" s="334" t="s">
        <v>186</v>
      </c>
      <c r="B6" s="335"/>
      <c r="C6" s="335"/>
    </row>
    <row r="7" spans="1:14" ht="21">
      <c r="A7" s="5" t="s">
        <v>2</v>
      </c>
      <c r="B7" s="6" t="s">
        <v>9</v>
      </c>
      <c r="C7" s="6" t="s">
        <v>8</v>
      </c>
      <c r="D7" s="258"/>
    </row>
    <row r="8" spans="1:14">
      <c r="A8" s="1" t="s">
        <v>104</v>
      </c>
      <c r="B8" s="66">
        <f t="shared" ref="B8:B9" ca="1" si="0">TODAY()</f>
        <v>46211</v>
      </c>
      <c r="C8" s="35">
        <v>0.5</v>
      </c>
    </row>
    <row r="9" spans="1:14" hidden="1">
      <c r="A9" s="1" t="s">
        <v>105</v>
      </c>
      <c r="B9" s="67">
        <f t="shared" ca="1" si="0"/>
        <v>46211</v>
      </c>
      <c r="C9" s="35">
        <v>0.5</v>
      </c>
    </row>
    <row r="10" spans="1:14">
      <c r="A10" s="1" t="s">
        <v>192</v>
      </c>
      <c r="B10" s="66">
        <f ca="1">TODAY()</f>
        <v>46211</v>
      </c>
      <c r="C10" s="35">
        <v>0.5</v>
      </c>
    </row>
    <row r="11" spans="1:14">
      <c r="A11" s="1" t="s">
        <v>191</v>
      </c>
      <c r="B11" s="66">
        <f ca="1">TODAY()</f>
        <v>46211</v>
      </c>
      <c r="C11" s="35">
        <v>0.5</v>
      </c>
    </row>
    <row r="12" spans="1:14">
      <c r="A12" s="1" t="s">
        <v>232</v>
      </c>
      <c r="B12" s="66">
        <f ca="1">TODAY()</f>
        <v>46211</v>
      </c>
      <c r="C12" s="35">
        <v>0.5</v>
      </c>
    </row>
    <row r="13" spans="1:14" hidden="1">
      <c r="A13" s="1" t="s">
        <v>109</v>
      </c>
      <c r="B13" s="66">
        <f ca="1">TODAY()</f>
        <v>46211</v>
      </c>
      <c r="C13" s="35">
        <v>0.5</v>
      </c>
    </row>
    <row r="14" spans="1:14" hidden="1">
      <c r="A14" s="1" t="s">
        <v>110</v>
      </c>
      <c r="B14" s="66">
        <v>44764</v>
      </c>
      <c r="C14" s="35">
        <v>0.5</v>
      </c>
    </row>
    <row r="15" spans="1:14">
      <c r="A15" s="1" t="s">
        <v>193</v>
      </c>
      <c r="B15" s="66">
        <f ca="1">TODAY()</f>
        <v>46211</v>
      </c>
      <c r="C15" s="35">
        <v>0.5</v>
      </c>
    </row>
    <row r="16" spans="1:14">
      <c r="A16" s="1" t="s">
        <v>112</v>
      </c>
      <c r="B16" s="66">
        <f ca="1">TODAY()</f>
        <v>46211</v>
      </c>
      <c r="C16" s="35">
        <v>0.5</v>
      </c>
    </row>
    <row r="17" spans="1:3" hidden="1">
      <c r="A17" s="1" t="s">
        <v>113</v>
      </c>
      <c r="B17" s="66">
        <v>44604</v>
      </c>
      <c r="C17" s="35">
        <v>0.5</v>
      </c>
    </row>
    <row r="18" spans="1:3">
      <c r="A18" s="1" t="s">
        <v>194</v>
      </c>
      <c r="B18" s="66">
        <f ca="1">TODAY()</f>
        <v>46211</v>
      </c>
      <c r="C18" s="35">
        <v>0.5</v>
      </c>
    </row>
    <row r="19" spans="1:3" hidden="1">
      <c r="A19" s="1" t="s">
        <v>115</v>
      </c>
      <c r="B19" s="68">
        <f ca="1">TODAY()</f>
        <v>46211</v>
      </c>
      <c r="C19" s="35">
        <v>0.5</v>
      </c>
    </row>
    <row r="20" spans="1:3" hidden="1">
      <c r="A20" s="1" t="s">
        <v>116</v>
      </c>
      <c r="B20" s="66">
        <v>44764</v>
      </c>
      <c r="C20" s="35">
        <v>0.5</v>
      </c>
    </row>
    <row r="21" spans="1:3">
      <c r="A21" s="1" t="s">
        <v>195</v>
      </c>
      <c r="B21" s="66">
        <f ca="1">TODAY()</f>
        <v>46211</v>
      </c>
      <c r="C21" s="35">
        <v>0.5</v>
      </c>
    </row>
    <row r="22" spans="1:3">
      <c r="A22" s="1" t="s">
        <v>118</v>
      </c>
      <c r="B22" s="66">
        <f ca="1">TODAY()</f>
        <v>46211</v>
      </c>
      <c r="C22" s="35">
        <v>0.5</v>
      </c>
    </row>
    <row r="23" spans="1:3" hidden="1">
      <c r="A23" s="1" t="s">
        <v>119</v>
      </c>
      <c r="B23" s="66">
        <v>44969</v>
      </c>
      <c r="C23" s="35">
        <v>0.5</v>
      </c>
    </row>
    <row r="24" spans="1:3">
      <c r="A24" s="1" t="s">
        <v>196</v>
      </c>
      <c r="B24" s="66">
        <f ca="1">TODAY()</f>
        <v>46211</v>
      </c>
      <c r="C24" s="35">
        <v>0.5</v>
      </c>
    </row>
    <row r="25" spans="1:3">
      <c r="A25" s="1" t="s">
        <v>121</v>
      </c>
      <c r="B25" s="66">
        <f ca="1">TODAY()</f>
        <v>46211</v>
      </c>
      <c r="C25" s="35">
        <v>0.5</v>
      </c>
    </row>
    <row r="26" spans="1:3" hidden="1">
      <c r="A26" s="1" t="s">
        <v>122</v>
      </c>
      <c r="B26" s="66">
        <v>44764</v>
      </c>
      <c r="C26" s="35">
        <v>0.5</v>
      </c>
    </row>
    <row r="27" spans="1:3">
      <c r="A27" s="1" t="s">
        <v>197</v>
      </c>
      <c r="B27" s="66">
        <f ca="1">TODAY()</f>
        <v>46211</v>
      </c>
      <c r="C27" s="35">
        <v>0.5</v>
      </c>
    </row>
    <row r="28" spans="1:3" hidden="1">
      <c r="A28" s="1" t="s">
        <v>208</v>
      </c>
      <c r="B28" s="66">
        <v>44769</v>
      </c>
      <c r="C28" s="35">
        <v>0.5</v>
      </c>
    </row>
    <row r="29" spans="1:3">
      <c r="A29" s="1" t="s">
        <v>211</v>
      </c>
      <c r="B29" s="66">
        <f ca="1">TODAY()</f>
        <v>46211</v>
      </c>
      <c r="C29" s="35">
        <v>0.5</v>
      </c>
    </row>
    <row r="30" spans="1:3" hidden="1">
      <c r="A30" s="1" t="s">
        <v>233</v>
      </c>
      <c r="B30" s="66">
        <f ca="1">TODAY()</f>
        <v>46211</v>
      </c>
      <c r="C30" s="35">
        <v>0.5</v>
      </c>
    </row>
    <row r="31" spans="1:3" ht="16.5" customHeight="1">
      <c r="A31" s="16" t="s">
        <v>218</v>
      </c>
      <c r="B31" s="66">
        <f t="shared" ref="B31:B39" ca="1" si="1">TODAY()</f>
        <v>46211</v>
      </c>
      <c r="C31" s="35">
        <v>0.5</v>
      </c>
    </row>
    <row r="32" spans="1:3" hidden="1">
      <c r="A32" s="3" t="s">
        <v>199</v>
      </c>
      <c r="B32" s="66">
        <f t="shared" ca="1" si="1"/>
        <v>46211</v>
      </c>
      <c r="C32" s="35">
        <v>0.5</v>
      </c>
    </row>
    <row r="33" spans="1:3" hidden="1">
      <c r="A33" s="3" t="s">
        <v>200</v>
      </c>
      <c r="B33" s="66">
        <f t="shared" ca="1" si="1"/>
        <v>46211</v>
      </c>
      <c r="C33" s="35">
        <v>0.5</v>
      </c>
    </row>
    <row r="34" spans="1:3" hidden="1">
      <c r="A34" s="3" t="s">
        <v>201</v>
      </c>
      <c r="B34" s="66">
        <f t="shared" ca="1" si="1"/>
        <v>46211</v>
      </c>
      <c r="C34" s="35">
        <v>0.5</v>
      </c>
    </row>
    <row r="35" spans="1:3" hidden="1">
      <c r="A35" s="3" t="s">
        <v>202</v>
      </c>
      <c r="B35" s="66">
        <f t="shared" ca="1" si="1"/>
        <v>46211</v>
      </c>
      <c r="C35" s="35">
        <v>0.5</v>
      </c>
    </row>
    <row r="36" spans="1:3" hidden="1">
      <c r="A36" s="3" t="s">
        <v>203</v>
      </c>
      <c r="B36" s="66">
        <f t="shared" ca="1" si="1"/>
        <v>46211</v>
      </c>
      <c r="C36" s="35">
        <v>0.5</v>
      </c>
    </row>
    <row r="37" spans="1:3" hidden="1">
      <c r="A37" s="3" t="s">
        <v>212</v>
      </c>
      <c r="B37" s="66">
        <f t="shared" ca="1" si="1"/>
        <v>46211</v>
      </c>
      <c r="C37" s="35">
        <v>0.5</v>
      </c>
    </row>
    <row r="38" spans="1:3" hidden="1">
      <c r="A38" s="3" t="s">
        <v>204</v>
      </c>
      <c r="B38" s="66">
        <f t="shared" ca="1" si="1"/>
        <v>46211</v>
      </c>
      <c r="C38" s="35">
        <v>0.5</v>
      </c>
    </row>
    <row r="39" spans="1:3">
      <c r="A39" s="3" t="s">
        <v>219</v>
      </c>
      <c r="B39" s="66">
        <f t="shared" ca="1" si="1"/>
        <v>46211</v>
      </c>
      <c r="C39" s="35">
        <v>0.5</v>
      </c>
    </row>
    <row r="40" spans="1:3">
      <c r="A40" s="3" t="s">
        <v>182</v>
      </c>
      <c r="B40" s="66">
        <f ca="1">TODAY()</f>
        <v>46211</v>
      </c>
      <c r="C40" s="35">
        <v>0.5</v>
      </c>
    </row>
    <row r="41" spans="1:3">
      <c r="A41" s="3" t="s">
        <v>183</v>
      </c>
      <c r="B41" s="66">
        <f ca="1">TODAY()</f>
        <v>46211</v>
      </c>
      <c r="C41" s="35">
        <v>0.5</v>
      </c>
    </row>
    <row r="42" spans="1:3">
      <c r="A42" s="3" t="s">
        <v>137</v>
      </c>
      <c r="B42" s="66">
        <f ca="1">TODAY()</f>
        <v>46211</v>
      </c>
      <c r="C42" s="35">
        <v>0.5</v>
      </c>
    </row>
    <row r="43" spans="1:3" hidden="1">
      <c r="A43" s="1" t="s">
        <v>139</v>
      </c>
      <c r="B43" s="67">
        <v>45128</v>
      </c>
      <c r="C43" s="35">
        <v>0.5</v>
      </c>
    </row>
    <row r="44" spans="1:3" hidden="1">
      <c r="A44" s="1" t="s">
        <v>140</v>
      </c>
      <c r="B44" s="67">
        <v>45128</v>
      </c>
      <c r="C44" s="35">
        <v>0.5</v>
      </c>
    </row>
    <row r="45" spans="1:3" hidden="1">
      <c r="A45" s="29" t="s">
        <v>141</v>
      </c>
      <c r="B45" s="67">
        <v>45128</v>
      </c>
      <c r="C45" s="35">
        <v>0.5</v>
      </c>
    </row>
    <row r="46" spans="1:3" hidden="1">
      <c r="A46" s="1" t="s">
        <v>142</v>
      </c>
      <c r="B46" s="67">
        <v>45128</v>
      </c>
      <c r="C46" s="35">
        <v>0.5</v>
      </c>
    </row>
    <row r="47" spans="1:3" hidden="1">
      <c r="A47" s="3" t="s">
        <v>143</v>
      </c>
      <c r="B47" s="67">
        <v>45128</v>
      </c>
      <c r="C47" s="35">
        <v>0.5</v>
      </c>
    </row>
    <row r="48" spans="1:3" hidden="1">
      <c r="A48" s="3" t="s">
        <v>206</v>
      </c>
      <c r="B48" s="67">
        <v>45128</v>
      </c>
      <c r="C48" s="35">
        <v>0.5</v>
      </c>
    </row>
    <row r="49" spans="1:11" hidden="1">
      <c r="A49" s="3" t="s">
        <v>206</v>
      </c>
      <c r="B49" s="67">
        <v>45128</v>
      </c>
      <c r="C49" s="35">
        <v>0.5</v>
      </c>
    </row>
    <row r="50" spans="1:11">
      <c r="A50" s="3" t="s">
        <v>145</v>
      </c>
      <c r="B50" s="66">
        <f t="shared" ref="B50:B58" ca="1" si="2">TODAY()</f>
        <v>46211</v>
      </c>
      <c r="C50" s="35">
        <v>0.5</v>
      </c>
    </row>
    <row r="51" spans="1:11">
      <c r="A51" s="3" t="s">
        <v>149</v>
      </c>
      <c r="B51" s="66">
        <f t="shared" ca="1" si="2"/>
        <v>46211</v>
      </c>
      <c r="C51" s="35">
        <v>0.5</v>
      </c>
    </row>
    <row r="52" spans="1:11">
      <c r="A52" s="3" t="s">
        <v>151</v>
      </c>
      <c r="B52" s="66">
        <f t="shared" ca="1" si="2"/>
        <v>46211</v>
      </c>
      <c r="C52" s="35">
        <v>0.5</v>
      </c>
    </row>
    <row r="53" spans="1:11" ht="15" customHeight="1">
      <c r="A53" s="3" t="s">
        <v>153</v>
      </c>
      <c r="B53" s="66">
        <f t="shared" ca="1" si="2"/>
        <v>46211</v>
      </c>
      <c r="C53" s="35">
        <v>0.5</v>
      </c>
    </row>
    <row r="54" spans="1:11">
      <c r="A54" s="3" t="s">
        <v>155</v>
      </c>
      <c r="B54" s="66">
        <f t="shared" ca="1" si="2"/>
        <v>46211</v>
      </c>
      <c r="C54" s="35">
        <v>0.5</v>
      </c>
    </row>
    <row r="55" spans="1:11">
      <c r="A55" s="3" t="s">
        <v>157</v>
      </c>
      <c r="B55" s="66">
        <f t="shared" ca="1" si="2"/>
        <v>46211</v>
      </c>
      <c r="C55" s="35">
        <v>0.5</v>
      </c>
    </row>
    <row r="56" spans="1:11">
      <c r="A56" s="3" t="s">
        <v>159</v>
      </c>
      <c r="B56" s="66">
        <f t="shared" ca="1" si="2"/>
        <v>46211</v>
      </c>
      <c r="C56" s="35">
        <v>0.5</v>
      </c>
    </row>
    <row r="57" spans="1:11" ht="13.5" customHeight="1">
      <c r="A57" s="3" t="s">
        <v>161</v>
      </c>
      <c r="B57" s="66">
        <f t="shared" ca="1" si="2"/>
        <v>46211</v>
      </c>
      <c r="C57" s="35">
        <v>0.5</v>
      </c>
    </row>
    <row r="58" spans="1:11" ht="13.5" hidden="1" customHeight="1">
      <c r="A58" s="261" t="s">
        <v>221</v>
      </c>
      <c r="B58" s="66">
        <f t="shared" ca="1" si="2"/>
        <v>46211</v>
      </c>
      <c r="C58" s="35">
        <v>0.5</v>
      </c>
    </row>
    <row r="59" spans="1:11" hidden="1">
      <c r="A59" s="3" t="s">
        <v>220</v>
      </c>
      <c r="B59" s="67">
        <v>45088</v>
      </c>
      <c r="C59" s="35">
        <v>0.5</v>
      </c>
    </row>
    <row r="60" spans="1:11" hidden="1">
      <c r="A60" s="3" t="s">
        <v>221</v>
      </c>
      <c r="B60" s="69">
        <f t="shared" ref="B60:B71" ca="1" si="3">TODAY()</f>
        <v>46211</v>
      </c>
      <c r="C60" s="35">
        <v>0.5</v>
      </c>
    </row>
    <row r="61" spans="1:11">
      <c r="A61" s="3" t="s">
        <v>163</v>
      </c>
      <c r="B61" s="66">
        <f t="shared" ca="1" si="3"/>
        <v>46211</v>
      </c>
      <c r="C61" s="35">
        <v>0.5</v>
      </c>
    </row>
    <row r="62" spans="1:11" ht="14.25" customHeight="1">
      <c r="A62" s="3" t="s">
        <v>165</v>
      </c>
      <c r="B62" s="66">
        <f t="shared" ca="1" si="3"/>
        <v>46211</v>
      </c>
      <c r="C62" s="35">
        <v>0.5</v>
      </c>
    </row>
    <row r="63" spans="1:11">
      <c r="A63" s="3" t="s">
        <v>167</v>
      </c>
      <c r="B63" s="66">
        <f t="shared" ca="1" si="3"/>
        <v>46211</v>
      </c>
      <c r="C63" s="35">
        <v>0.5</v>
      </c>
    </row>
    <row r="64" spans="1:11">
      <c r="A64" s="3" t="s">
        <v>169</v>
      </c>
      <c r="B64" s="66">
        <f t="shared" ca="1" si="3"/>
        <v>46211</v>
      </c>
      <c r="C64" s="35">
        <v>0.5</v>
      </c>
      <c r="G64" s="340"/>
      <c r="H64" s="340"/>
      <c r="I64" s="340"/>
      <c r="J64" s="340"/>
      <c r="K64" s="340"/>
    </row>
    <row r="65" spans="1:3" ht="14.25" customHeight="1">
      <c r="A65" s="3" t="s">
        <v>172</v>
      </c>
      <c r="B65" s="66">
        <f t="shared" ca="1" si="3"/>
        <v>46211</v>
      </c>
      <c r="C65" s="35">
        <v>0.5</v>
      </c>
    </row>
    <row r="66" spans="1:3" ht="13.5" customHeight="1">
      <c r="A66" s="3" t="s">
        <v>224</v>
      </c>
      <c r="B66" s="69">
        <f t="shared" ca="1" si="3"/>
        <v>46211</v>
      </c>
      <c r="C66" s="15">
        <v>0.5</v>
      </c>
    </row>
    <row r="67" spans="1:3" ht="15.75" customHeight="1">
      <c r="A67" s="3" t="s">
        <v>174</v>
      </c>
      <c r="B67" s="66">
        <f t="shared" ca="1" si="3"/>
        <v>46211</v>
      </c>
      <c r="C67" s="35">
        <v>0.5</v>
      </c>
    </row>
    <row r="68" spans="1:3">
      <c r="A68" s="3" t="s">
        <v>311</v>
      </c>
      <c r="B68" s="66">
        <f t="shared" ca="1" si="3"/>
        <v>46211</v>
      </c>
      <c r="C68" s="35">
        <v>0.5</v>
      </c>
    </row>
    <row r="69" spans="1:3">
      <c r="A69" s="3" t="s">
        <v>409</v>
      </c>
      <c r="B69" s="66">
        <f t="shared" ca="1" si="3"/>
        <v>46211</v>
      </c>
      <c r="C69" s="35">
        <v>0.5</v>
      </c>
    </row>
    <row r="70" spans="1:3">
      <c r="A70" s="3" t="s">
        <v>410</v>
      </c>
      <c r="B70" s="66">
        <f t="shared" ca="1" si="3"/>
        <v>46211</v>
      </c>
      <c r="C70" s="35">
        <v>0.5</v>
      </c>
    </row>
    <row r="71" spans="1:3">
      <c r="A71" s="3" t="s">
        <v>411</v>
      </c>
      <c r="B71" s="66">
        <f t="shared" ca="1" si="3"/>
        <v>46211</v>
      </c>
      <c r="C71" s="35">
        <v>0.5</v>
      </c>
    </row>
  </sheetData>
  <mergeCells count="5">
    <mergeCell ref="B1:C1"/>
    <mergeCell ref="B2:C2"/>
    <mergeCell ref="B3:C3"/>
    <mergeCell ref="A6:C6"/>
    <mergeCell ref="G64:K64"/>
  </mergeCells>
  <printOptions horizontalCentered="1"/>
  <pageMargins left="0" right="0" top="0" bottom="0" header="0" footer="0"/>
  <pageSetup paperSize="9" scale="66" orientation="portrait" blackAndWhite="1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C3C114-EE55-4DAB-9D1D-89E81FBA88C5}">
          <x14:formula1>
            <xm:f>BD!$A$2:$A$4</xm:f>
          </x14:formula1>
          <xm:sqref>B3:C3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9E1B5-0292-4D07-A41B-D789C22F2767}">
  <sheetPr codeName="Q11">
    <tabColor theme="0"/>
    <pageSetUpPr fitToPage="1"/>
  </sheetPr>
  <dimension ref="A1:N71"/>
  <sheetViews>
    <sheetView view="pageBreakPreview" zoomScale="130" zoomScaleNormal="120" zoomScaleSheetLayoutView="130" workbookViewId="0">
      <selection sqref="A1:XFD1048576"/>
    </sheetView>
  </sheetViews>
  <sheetFormatPr defaultRowHeight="15"/>
  <cols>
    <col min="1" max="1" width="99.5703125" bestFit="1" customWidth="1"/>
    <col min="2" max="2" width="25.7109375" customWidth="1"/>
    <col min="3" max="3" width="31.7109375" customWidth="1"/>
    <col min="4" max="4" width="13" hidden="1" customWidth="1"/>
    <col min="5" max="5" width="58" customWidth="1"/>
  </cols>
  <sheetData>
    <row r="1" spans="1:14" ht="35.25" customHeight="1">
      <c r="A1" s="9"/>
      <c r="B1" s="332"/>
      <c r="C1" s="332"/>
      <c r="N1" t="s">
        <v>225</v>
      </c>
    </row>
    <row r="2" spans="1:14" ht="15.75" customHeight="1">
      <c r="A2" s="9"/>
      <c r="B2" s="333" t="s">
        <v>0</v>
      </c>
      <c r="C2" s="333"/>
    </row>
    <row r="3" spans="1:14" ht="34.5" customHeight="1">
      <c r="A3" s="9"/>
      <c r="B3" s="333" t="str">
        <f>'Тека ГП'!B3:C3</f>
        <v>Начальник мясного цеха 
Пискунов.А.А</v>
      </c>
      <c r="C3" s="333"/>
      <c r="D3" s="260"/>
    </row>
    <row r="4" spans="1:14" ht="16.5" customHeight="1">
      <c r="A4" s="9"/>
      <c r="B4" s="36" t="s">
        <v>5</v>
      </c>
      <c r="C4" s="37">
        <f ca="1">'Тека ГП'!$C$4</f>
        <v>46211</v>
      </c>
    </row>
    <row r="5" spans="1:14" ht="17.25" customHeight="1">
      <c r="A5" s="9"/>
      <c r="B5" s="259"/>
      <c r="C5" s="36"/>
    </row>
    <row r="6" spans="1:14" ht="39.75" customHeight="1">
      <c r="A6" s="334" t="s">
        <v>186</v>
      </c>
      <c r="B6" s="335"/>
      <c r="C6" s="335"/>
    </row>
    <row r="7" spans="1:14" ht="21">
      <c r="A7" s="5" t="s">
        <v>2</v>
      </c>
      <c r="B7" s="6" t="s">
        <v>9</v>
      </c>
      <c r="C7" s="6" t="s">
        <v>8</v>
      </c>
      <c r="D7" s="258"/>
    </row>
    <row r="8" spans="1:14">
      <c r="A8" s="1" t="s">
        <v>104</v>
      </c>
      <c r="B8" s="66">
        <f t="shared" ref="B8:B9" ca="1" si="0">TODAY()</f>
        <v>46211</v>
      </c>
      <c r="C8" s="35">
        <v>0.66666666666666663</v>
      </c>
    </row>
    <row r="9" spans="1:14" hidden="1">
      <c r="A9" s="1" t="s">
        <v>105</v>
      </c>
      <c r="B9" s="67">
        <f t="shared" ca="1" si="0"/>
        <v>46211</v>
      </c>
      <c r="C9" s="35">
        <v>0.66666666666666663</v>
      </c>
    </row>
    <row r="10" spans="1:14">
      <c r="A10" s="1" t="s">
        <v>192</v>
      </c>
      <c r="B10" s="66">
        <f ca="1">TODAY()</f>
        <v>46211</v>
      </c>
      <c r="C10" s="35">
        <v>0.66666666666666663</v>
      </c>
    </row>
    <row r="11" spans="1:14">
      <c r="A11" s="1" t="s">
        <v>191</v>
      </c>
      <c r="B11" s="66">
        <f ca="1">TODAY()</f>
        <v>46211</v>
      </c>
      <c r="C11" s="35">
        <v>0.66666666666666663</v>
      </c>
    </row>
    <row r="12" spans="1:14">
      <c r="A12" s="1" t="s">
        <v>232</v>
      </c>
      <c r="B12" s="66">
        <f ca="1">TODAY()</f>
        <v>46211</v>
      </c>
      <c r="C12" s="35">
        <v>0.66666666666666663</v>
      </c>
    </row>
    <row r="13" spans="1:14" hidden="1">
      <c r="A13" s="1" t="s">
        <v>109</v>
      </c>
      <c r="B13" s="66">
        <f ca="1">TODAY()</f>
        <v>46211</v>
      </c>
      <c r="C13" s="35">
        <v>0.66666666666666663</v>
      </c>
    </row>
    <row r="14" spans="1:14" hidden="1">
      <c r="A14" s="1" t="s">
        <v>110</v>
      </c>
      <c r="B14" s="66">
        <v>44764</v>
      </c>
      <c r="C14" s="35">
        <v>0.66666666666666663</v>
      </c>
    </row>
    <row r="15" spans="1:14">
      <c r="A15" s="1" t="s">
        <v>193</v>
      </c>
      <c r="B15" s="66">
        <f ca="1">TODAY()</f>
        <v>46211</v>
      </c>
      <c r="C15" s="35">
        <v>0.66666666666666663</v>
      </c>
    </row>
    <row r="16" spans="1:14">
      <c r="A16" s="1" t="s">
        <v>112</v>
      </c>
      <c r="B16" s="66">
        <f ca="1">TODAY()</f>
        <v>46211</v>
      </c>
      <c r="C16" s="35">
        <v>0.66666666666666663</v>
      </c>
    </row>
    <row r="17" spans="1:3" hidden="1">
      <c r="A17" s="1" t="s">
        <v>113</v>
      </c>
      <c r="B17" s="66">
        <v>44604</v>
      </c>
      <c r="C17" s="35">
        <v>0.66666666666666663</v>
      </c>
    </row>
    <row r="18" spans="1:3">
      <c r="A18" s="1" t="s">
        <v>194</v>
      </c>
      <c r="B18" s="66">
        <f ca="1">TODAY()</f>
        <v>46211</v>
      </c>
      <c r="C18" s="35">
        <v>0.66666666666666663</v>
      </c>
    </row>
    <row r="19" spans="1:3" hidden="1">
      <c r="A19" s="1" t="s">
        <v>115</v>
      </c>
      <c r="B19" s="68">
        <f ca="1">TODAY()</f>
        <v>46211</v>
      </c>
      <c r="C19" s="35">
        <v>0.66666666666666663</v>
      </c>
    </row>
    <row r="20" spans="1:3" hidden="1">
      <c r="A20" s="1" t="s">
        <v>116</v>
      </c>
      <c r="B20" s="66">
        <v>44764</v>
      </c>
      <c r="C20" s="35">
        <v>0.66666666666666663</v>
      </c>
    </row>
    <row r="21" spans="1:3">
      <c r="A21" s="1" t="s">
        <v>195</v>
      </c>
      <c r="B21" s="66">
        <f ca="1">TODAY()</f>
        <v>46211</v>
      </c>
      <c r="C21" s="35">
        <v>0.66666666666666663</v>
      </c>
    </row>
    <row r="22" spans="1:3">
      <c r="A22" s="1" t="s">
        <v>118</v>
      </c>
      <c r="B22" s="66">
        <f ca="1">TODAY()</f>
        <v>46211</v>
      </c>
      <c r="C22" s="35">
        <v>0.66666666666666663</v>
      </c>
    </row>
    <row r="23" spans="1:3" hidden="1">
      <c r="A23" s="1" t="s">
        <v>119</v>
      </c>
      <c r="B23" s="66">
        <v>44969</v>
      </c>
      <c r="C23" s="35">
        <v>0.66666666666666663</v>
      </c>
    </row>
    <row r="24" spans="1:3">
      <c r="A24" s="1" t="s">
        <v>196</v>
      </c>
      <c r="B24" s="66">
        <f ca="1">TODAY()</f>
        <v>46211</v>
      </c>
      <c r="C24" s="35">
        <v>0.66666666666666663</v>
      </c>
    </row>
    <row r="25" spans="1:3">
      <c r="A25" s="1" t="s">
        <v>121</v>
      </c>
      <c r="B25" s="66">
        <f ca="1">TODAY()</f>
        <v>46211</v>
      </c>
      <c r="C25" s="35">
        <v>0.66666666666666663</v>
      </c>
    </row>
    <row r="26" spans="1:3" hidden="1">
      <c r="A26" s="1" t="s">
        <v>122</v>
      </c>
      <c r="B26" s="66">
        <v>44764</v>
      </c>
      <c r="C26" s="35">
        <v>0.66666666666666663</v>
      </c>
    </row>
    <row r="27" spans="1:3">
      <c r="A27" s="1" t="s">
        <v>197</v>
      </c>
      <c r="B27" s="66">
        <f ca="1">TODAY()</f>
        <v>46211</v>
      </c>
      <c r="C27" s="35">
        <v>0.66666666666666663</v>
      </c>
    </row>
    <row r="28" spans="1:3" hidden="1">
      <c r="A28" s="1" t="s">
        <v>208</v>
      </c>
      <c r="B28" s="66">
        <v>44769</v>
      </c>
      <c r="C28" s="35">
        <v>0.66666666666666663</v>
      </c>
    </row>
    <row r="29" spans="1:3">
      <c r="A29" s="1" t="s">
        <v>211</v>
      </c>
      <c r="B29" s="66">
        <f ca="1">TODAY()</f>
        <v>46211</v>
      </c>
      <c r="C29" s="35">
        <v>0.66666666666666663</v>
      </c>
    </row>
    <row r="30" spans="1:3" hidden="1">
      <c r="A30" s="1" t="s">
        <v>233</v>
      </c>
      <c r="B30" s="66">
        <f ca="1">TODAY()</f>
        <v>46211</v>
      </c>
      <c r="C30" s="35">
        <v>0.66666666666666663</v>
      </c>
    </row>
    <row r="31" spans="1:3" ht="16.5" customHeight="1">
      <c r="A31" s="16" t="s">
        <v>218</v>
      </c>
      <c r="B31" s="66">
        <f t="shared" ref="B31:B39" ca="1" si="1">TODAY()</f>
        <v>46211</v>
      </c>
      <c r="C31" s="35">
        <v>0.66666666666666663</v>
      </c>
    </row>
    <row r="32" spans="1:3" hidden="1">
      <c r="A32" s="3" t="s">
        <v>199</v>
      </c>
      <c r="B32" s="66">
        <f t="shared" ca="1" si="1"/>
        <v>46211</v>
      </c>
      <c r="C32" s="35">
        <v>0.66666666666666663</v>
      </c>
    </row>
    <row r="33" spans="1:3" hidden="1">
      <c r="A33" s="3" t="s">
        <v>200</v>
      </c>
      <c r="B33" s="66">
        <f t="shared" ca="1" si="1"/>
        <v>46211</v>
      </c>
      <c r="C33" s="35">
        <v>0.66666666666666663</v>
      </c>
    </row>
    <row r="34" spans="1:3" hidden="1">
      <c r="A34" s="3" t="s">
        <v>201</v>
      </c>
      <c r="B34" s="66">
        <f t="shared" ca="1" si="1"/>
        <v>46211</v>
      </c>
      <c r="C34" s="35">
        <v>0.66666666666666663</v>
      </c>
    </row>
    <row r="35" spans="1:3" hidden="1">
      <c r="A35" s="3" t="s">
        <v>202</v>
      </c>
      <c r="B35" s="66">
        <f t="shared" ca="1" si="1"/>
        <v>46211</v>
      </c>
      <c r="C35" s="35">
        <v>0.66666666666666663</v>
      </c>
    </row>
    <row r="36" spans="1:3" hidden="1">
      <c r="A36" s="3" t="s">
        <v>203</v>
      </c>
      <c r="B36" s="66">
        <f t="shared" ca="1" si="1"/>
        <v>46211</v>
      </c>
      <c r="C36" s="35">
        <v>0.66666666666666663</v>
      </c>
    </row>
    <row r="37" spans="1:3" hidden="1">
      <c r="A37" s="3" t="s">
        <v>212</v>
      </c>
      <c r="B37" s="66">
        <f t="shared" ca="1" si="1"/>
        <v>46211</v>
      </c>
      <c r="C37" s="35">
        <v>0.66666666666666663</v>
      </c>
    </row>
    <row r="38" spans="1:3" hidden="1">
      <c r="A38" s="3" t="s">
        <v>204</v>
      </c>
      <c r="B38" s="66">
        <f t="shared" ca="1" si="1"/>
        <v>46211</v>
      </c>
      <c r="C38" s="35">
        <v>0.66666666666666663</v>
      </c>
    </row>
    <row r="39" spans="1:3">
      <c r="A39" s="3" t="s">
        <v>219</v>
      </c>
      <c r="B39" s="66">
        <f t="shared" ca="1" si="1"/>
        <v>46211</v>
      </c>
      <c r="C39" s="35">
        <v>0.66666666666666663</v>
      </c>
    </row>
    <row r="40" spans="1:3">
      <c r="A40" s="3" t="s">
        <v>182</v>
      </c>
      <c r="B40" s="66">
        <f ca="1">TODAY()</f>
        <v>46211</v>
      </c>
      <c r="C40" s="35">
        <v>0.66666666666666663</v>
      </c>
    </row>
    <row r="41" spans="1:3">
      <c r="A41" s="3" t="s">
        <v>183</v>
      </c>
      <c r="B41" s="66">
        <f ca="1">TODAY()</f>
        <v>46211</v>
      </c>
      <c r="C41" s="35">
        <v>0.66666666666666663</v>
      </c>
    </row>
    <row r="42" spans="1:3">
      <c r="A42" s="3" t="s">
        <v>137</v>
      </c>
      <c r="B42" s="66">
        <f ca="1">TODAY()</f>
        <v>46211</v>
      </c>
      <c r="C42" s="35">
        <v>0.66666666666666663</v>
      </c>
    </row>
    <row r="43" spans="1:3" hidden="1">
      <c r="A43" s="1" t="s">
        <v>139</v>
      </c>
      <c r="B43" s="67">
        <v>45128</v>
      </c>
      <c r="C43" s="35">
        <v>0.66666666666666663</v>
      </c>
    </row>
    <row r="44" spans="1:3" hidden="1">
      <c r="A44" s="1" t="s">
        <v>140</v>
      </c>
      <c r="B44" s="67">
        <v>45128</v>
      </c>
      <c r="C44" s="35">
        <v>0.66666666666666663</v>
      </c>
    </row>
    <row r="45" spans="1:3" hidden="1">
      <c r="A45" s="29" t="s">
        <v>141</v>
      </c>
      <c r="B45" s="67">
        <v>45128</v>
      </c>
      <c r="C45" s="35">
        <v>0.66666666666666663</v>
      </c>
    </row>
    <row r="46" spans="1:3" hidden="1">
      <c r="A46" s="1" t="s">
        <v>142</v>
      </c>
      <c r="B46" s="67">
        <v>45128</v>
      </c>
      <c r="C46" s="35">
        <v>0.66666666666666663</v>
      </c>
    </row>
    <row r="47" spans="1:3" hidden="1">
      <c r="A47" s="3" t="s">
        <v>143</v>
      </c>
      <c r="B47" s="67">
        <v>45128</v>
      </c>
      <c r="C47" s="35">
        <v>0.66666666666666663</v>
      </c>
    </row>
    <row r="48" spans="1:3" hidden="1">
      <c r="A48" s="3" t="s">
        <v>206</v>
      </c>
      <c r="B48" s="67">
        <v>45128</v>
      </c>
      <c r="C48" s="35">
        <v>0.66666666666666663</v>
      </c>
    </row>
    <row r="49" spans="1:11" hidden="1">
      <c r="A49" s="3" t="s">
        <v>206</v>
      </c>
      <c r="B49" s="67">
        <v>45128</v>
      </c>
      <c r="C49" s="35">
        <v>0.66666666666666663</v>
      </c>
    </row>
    <row r="50" spans="1:11">
      <c r="A50" s="3" t="s">
        <v>145</v>
      </c>
      <c r="B50" s="66">
        <f t="shared" ref="B50:B58" ca="1" si="2">TODAY()</f>
        <v>46211</v>
      </c>
      <c r="C50" s="35">
        <v>0.66666666666666663</v>
      </c>
    </row>
    <row r="51" spans="1:11">
      <c r="A51" s="3" t="s">
        <v>149</v>
      </c>
      <c r="B51" s="66">
        <f t="shared" ca="1" si="2"/>
        <v>46211</v>
      </c>
      <c r="C51" s="35">
        <v>0.66666666666666663</v>
      </c>
    </row>
    <row r="52" spans="1:11">
      <c r="A52" s="3" t="s">
        <v>151</v>
      </c>
      <c r="B52" s="66">
        <f t="shared" ca="1" si="2"/>
        <v>46211</v>
      </c>
      <c r="C52" s="35">
        <v>0.66666666666666663</v>
      </c>
    </row>
    <row r="53" spans="1:11" ht="15" customHeight="1">
      <c r="A53" s="3" t="s">
        <v>153</v>
      </c>
      <c r="B53" s="66">
        <f t="shared" ca="1" si="2"/>
        <v>46211</v>
      </c>
      <c r="C53" s="35">
        <v>0.66666666666666663</v>
      </c>
    </row>
    <row r="54" spans="1:11">
      <c r="A54" s="3" t="s">
        <v>155</v>
      </c>
      <c r="B54" s="66">
        <f t="shared" ca="1" si="2"/>
        <v>46211</v>
      </c>
      <c r="C54" s="35">
        <v>0.66666666666666663</v>
      </c>
    </row>
    <row r="55" spans="1:11">
      <c r="A55" s="3" t="s">
        <v>157</v>
      </c>
      <c r="B55" s="66">
        <f t="shared" ca="1" si="2"/>
        <v>46211</v>
      </c>
      <c r="C55" s="35">
        <v>0.66666666666666663</v>
      </c>
    </row>
    <row r="56" spans="1:11">
      <c r="A56" s="3" t="s">
        <v>159</v>
      </c>
      <c r="B56" s="66">
        <f t="shared" ca="1" si="2"/>
        <v>46211</v>
      </c>
      <c r="C56" s="35">
        <v>0.66666666666666663</v>
      </c>
    </row>
    <row r="57" spans="1:11" ht="13.5" customHeight="1">
      <c r="A57" s="3" t="s">
        <v>161</v>
      </c>
      <c r="B57" s="66">
        <f t="shared" ca="1" si="2"/>
        <v>46211</v>
      </c>
      <c r="C57" s="35">
        <v>0.66666666666666663</v>
      </c>
    </row>
    <row r="58" spans="1:11" ht="13.5" hidden="1" customHeight="1">
      <c r="A58" s="261" t="s">
        <v>221</v>
      </c>
      <c r="B58" s="66">
        <f t="shared" ca="1" si="2"/>
        <v>46211</v>
      </c>
      <c r="C58" s="35">
        <v>0.66666666666666663</v>
      </c>
    </row>
    <row r="59" spans="1:11" hidden="1">
      <c r="A59" s="3" t="s">
        <v>220</v>
      </c>
      <c r="B59" s="67">
        <v>45088</v>
      </c>
      <c r="C59" s="35">
        <v>0.66666666666666663</v>
      </c>
    </row>
    <row r="60" spans="1:11" hidden="1">
      <c r="A60" s="3" t="s">
        <v>221</v>
      </c>
      <c r="B60" s="69">
        <f t="shared" ref="B60:B71" ca="1" si="3">TODAY()</f>
        <v>46211</v>
      </c>
      <c r="C60" s="35">
        <v>0.66666666666666663</v>
      </c>
    </row>
    <row r="61" spans="1:11">
      <c r="A61" s="3" t="s">
        <v>163</v>
      </c>
      <c r="B61" s="66">
        <f t="shared" ca="1" si="3"/>
        <v>46211</v>
      </c>
      <c r="C61" s="35">
        <v>0.66666666666666663</v>
      </c>
    </row>
    <row r="62" spans="1:11" ht="14.25" customHeight="1">
      <c r="A62" s="3" t="s">
        <v>165</v>
      </c>
      <c r="B62" s="66">
        <f t="shared" ca="1" si="3"/>
        <v>46211</v>
      </c>
      <c r="C62" s="35">
        <v>0.66666666666666663</v>
      </c>
    </row>
    <row r="63" spans="1:11">
      <c r="A63" s="3" t="s">
        <v>167</v>
      </c>
      <c r="B63" s="66">
        <f t="shared" ca="1" si="3"/>
        <v>46211</v>
      </c>
      <c r="C63" s="35">
        <v>0.66666666666666663</v>
      </c>
    </row>
    <row r="64" spans="1:11">
      <c r="A64" s="3" t="s">
        <v>169</v>
      </c>
      <c r="B64" s="66">
        <f t="shared" ca="1" si="3"/>
        <v>46211</v>
      </c>
      <c r="C64" s="35">
        <v>0.66666666666666663</v>
      </c>
      <c r="G64" s="340"/>
      <c r="H64" s="340"/>
      <c r="I64" s="340"/>
      <c r="J64" s="340"/>
      <c r="K64" s="340"/>
    </row>
    <row r="65" spans="1:3" ht="14.25" customHeight="1">
      <c r="A65" s="3" t="s">
        <v>172</v>
      </c>
      <c r="B65" s="66">
        <f t="shared" ca="1" si="3"/>
        <v>46211</v>
      </c>
      <c r="C65" s="35">
        <v>0.66666666666666663</v>
      </c>
    </row>
    <row r="66" spans="1:3" ht="13.5" customHeight="1">
      <c r="A66" s="3" t="s">
        <v>224</v>
      </c>
      <c r="B66" s="69">
        <f t="shared" ca="1" si="3"/>
        <v>46211</v>
      </c>
      <c r="C66" s="15">
        <v>0.66666666666666663</v>
      </c>
    </row>
    <row r="67" spans="1:3" ht="15.75" customHeight="1">
      <c r="A67" s="3" t="s">
        <v>174</v>
      </c>
      <c r="B67" s="66">
        <f t="shared" ca="1" si="3"/>
        <v>46211</v>
      </c>
      <c r="C67" s="35">
        <v>0.66666666666666663</v>
      </c>
    </row>
    <row r="68" spans="1:3">
      <c r="A68" s="3" t="s">
        <v>311</v>
      </c>
      <c r="B68" s="66">
        <f t="shared" ca="1" si="3"/>
        <v>46211</v>
      </c>
      <c r="C68" s="35">
        <v>0.66666666666666663</v>
      </c>
    </row>
    <row r="69" spans="1:3">
      <c r="A69" s="3" t="s">
        <v>409</v>
      </c>
      <c r="B69" s="66">
        <f t="shared" ca="1" si="3"/>
        <v>46211</v>
      </c>
      <c r="C69" s="35">
        <v>0.66666666666666663</v>
      </c>
    </row>
    <row r="70" spans="1:3">
      <c r="A70" s="3" t="s">
        <v>410</v>
      </c>
      <c r="B70" s="66">
        <f t="shared" ca="1" si="3"/>
        <v>46211</v>
      </c>
      <c r="C70" s="35">
        <v>0.66666666666666663</v>
      </c>
    </row>
    <row r="71" spans="1:3">
      <c r="A71" s="3" t="s">
        <v>411</v>
      </c>
      <c r="B71" s="66">
        <f t="shared" ca="1" si="3"/>
        <v>46211</v>
      </c>
      <c r="C71" s="35">
        <v>0.66666666666666663</v>
      </c>
    </row>
  </sheetData>
  <mergeCells count="5">
    <mergeCell ref="B1:C1"/>
    <mergeCell ref="B2:C2"/>
    <mergeCell ref="B3:C3"/>
    <mergeCell ref="A6:C6"/>
    <mergeCell ref="G64:K64"/>
  </mergeCells>
  <printOptions horizontalCentered="1"/>
  <pageMargins left="0" right="0" top="0" bottom="0" header="0" footer="0"/>
  <pageSetup paperSize="9" scale="66" orientation="portrait" blackAndWhite="1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7D8C3E-6235-4B26-97FF-B3919D359E74}">
          <x14:formula1>
            <xm:f>BD!$A$2:$A$4</xm:f>
          </x14:formula1>
          <xm:sqref>B3:C3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F7558-AEB4-4141-8038-C08817D34240}">
  <sheetPr codeName="Q12">
    <tabColor theme="0"/>
    <pageSetUpPr fitToPage="1"/>
  </sheetPr>
  <dimension ref="A1:N71"/>
  <sheetViews>
    <sheetView view="pageBreakPreview" topLeftCell="A15" zoomScale="130" zoomScaleNormal="120" zoomScaleSheetLayoutView="130" workbookViewId="0">
      <selection activeCell="A61" sqref="A61"/>
    </sheetView>
  </sheetViews>
  <sheetFormatPr defaultRowHeight="15"/>
  <cols>
    <col min="1" max="1" width="99.5703125" bestFit="1" customWidth="1"/>
    <col min="2" max="2" width="25.7109375" customWidth="1"/>
    <col min="3" max="3" width="31.7109375" customWidth="1"/>
    <col min="4" max="4" width="13" hidden="1" customWidth="1"/>
    <col min="5" max="5" width="58" customWidth="1"/>
  </cols>
  <sheetData>
    <row r="1" spans="1:14" ht="35.25" customHeight="1">
      <c r="A1" s="9"/>
      <c r="B1" s="332"/>
      <c r="C1" s="332"/>
      <c r="N1" t="s">
        <v>225</v>
      </c>
    </row>
    <row r="2" spans="1:14" ht="15.75" customHeight="1">
      <c r="A2" s="9"/>
      <c r="B2" s="333" t="s">
        <v>0</v>
      </c>
      <c r="C2" s="333"/>
    </row>
    <row r="3" spans="1:14" ht="34.5" customHeight="1">
      <c r="A3" s="9"/>
      <c r="B3" s="333" t="str">
        <f>'Тека ГП'!B3:C3</f>
        <v>Начальник мясного цеха 
Пискунов.А.А</v>
      </c>
      <c r="C3" s="333"/>
      <c r="D3" s="260"/>
    </row>
    <row r="4" spans="1:14" ht="16.5" customHeight="1">
      <c r="A4" s="9"/>
      <c r="B4" s="36" t="s">
        <v>5</v>
      </c>
      <c r="C4" s="37">
        <f ca="1">'Тека ГП'!$C$4</f>
        <v>46211</v>
      </c>
    </row>
    <row r="5" spans="1:14" ht="17.25" customHeight="1">
      <c r="A5" s="9"/>
      <c r="B5" s="259"/>
      <c r="C5" s="36"/>
    </row>
    <row r="6" spans="1:14" ht="39.75" customHeight="1">
      <c r="A6" s="334" t="s">
        <v>186</v>
      </c>
      <c r="B6" s="335"/>
      <c r="C6" s="335"/>
    </row>
    <row r="7" spans="1:14" ht="21">
      <c r="A7" s="5" t="s">
        <v>2</v>
      </c>
      <c r="B7" s="6" t="s">
        <v>9</v>
      </c>
      <c r="C7" s="6" t="s">
        <v>8</v>
      </c>
      <c r="D7" s="258"/>
    </row>
    <row r="8" spans="1:14">
      <c r="A8" s="1" t="s">
        <v>104</v>
      </c>
      <c r="B8" s="66">
        <f t="shared" ref="B8:B9" ca="1" si="0">TODAY()</f>
        <v>46211</v>
      </c>
      <c r="C8" s="35">
        <v>0.83333333333333337</v>
      </c>
    </row>
    <row r="9" spans="1:14" hidden="1">
      <c r="A9" s="1" t="s">
        <v>105</v>
      </c>
      <c r="B9" s="67">
        <f t="shared" ca="1" si="0"/>
        <v>46211</v>
      </c>
      <c r="C9" s="35">
        <v>0.83333333333333337</v>
      </c>
    </row>
    <row r="10" spans="1:14">
      <c r="A10" s="1" t="s">
        <v>192</v>
      </c>
      <c r="B10" s="66">
        <f ca="1">TODAY()</f>
        <v>46211</v>
      </c>
      <c r="C10" s="35">
        <v>0.83333333333333337</v>
      </c>
    </row>
    <row r="11" spans="1:14">
      <c r="A11" s="1" t="s">
        <v>191</v>
      </c>
      <c r="B11" s="66">
        <f ca="1">TODAY()</f>
        <v>46211</v>
      </c>
      <c r="C11" s="35">
        <v>0.83333333333333337</v>
      </c>
    </row>
    <row r="12" spans="1:14">
      <c r="A12" s="1" t="s">
        <v>232</v>
      </c>
      <c r="B12" s="66">
        <f ca="1">TODAY()</f>
        <v>46211</v>
      </c>
      <c r="C12" s="35">
        <v>0.83333333333333337</v>
      </c>
    </row>
    <row r="13" spans="1:14" hidden="1">
      <c r="A13" s="1" t="s">
        <v>109</v>
      </c>
      <c r="B13" s="66">
        <f ca="1">TODAY()</f>
        <v>46211</v>
      </c>
      <c r="C13" s="35">
        <v>0.83333333333333337</v>
      </c>
    </row>
    <row r="14" spans="1:14" hidden="1">
      <c r="A14" s="1" t="s">
        <v>110</v>
      </c>
      <c r="B14" s="66">
        <v>44764</v>
      </c>
      <c r="C14" s="35">
        <v>0.83333333333333337</v>
      </c>
    </row>
    <row r="15" spans="1:14">
      <c r="A15" s="1" t="s">
        <v>193</v>
      </c>
      <c r="B15" s="66">
        <f ca="1">TODAY()</f>
        <v>46211</v>
      </c>
      <c r="C15" s="35">
        <v>0.83333333333333337</v>
      </c>
    </row>
    <row r="16" spans="1:14">
      <c r="A16" s="1" t="s">
        <v>112</v>
      </c>
      <c r="B16" s="66">
        <f ca="1">TODAY()</f>
        <v>46211</v>
      </c>
      <c r="C16" s="35">
        <v>0.83333333333333337</v>
      </c>
    </row>
    <row r="17" spans="1:3" hidden="1">
      <c r="A17" s="1" t="s">
        <v>113</v>
      </c>
      <c r="B17" s="66">
        <v>44604</v>
      </c>
      <c r="C17" s="35">
        <v>0.83333333333333337</v>
      </c>
    </row>
    <row r="18" spans="1:3">
      <c r="A18" s="1" t="s">
        <v>194</v>
      </c>
      <c r="B18" s="66">
        <f ca="1">TODAY()</f>
        <v>46211</v>
      </c>
      <c r="C18" s="35">
        <v>0.83333333333333337</v>
      </c>
    </row>
    <row r="19" spans="1:3" hidden="1">
      <c r="A19" s="1" t="s">
        <v>115</v>
      </c>
      <c r="B19" s="68">
        <f ca="1">TODAY()</f>
        <v>46211</v>
      </c>
      <c r="C19" s="35">
        <v>0.83333333333333337</v>
      </c>
    </row>
    <row r="20" spans="1:3" hidden="1">
      <c r="A20" s="1" t="s">
        <v>116</v>
      </c>
      <c r="B20" s="66">
        <v>44764</v>
      </c>
      <c r="C20" s="35">
        <v>0.83333333333333337</v>
      </c>
    </row>
    <row r="21" spans="1:3">
      <c r="A21" s="1" t="s">
        <v>195</v>
      </c>
      <c r="B21" s="66">
        <f ca="1">TODAY()</f>
        <v>46211</v>
      </c>
      <c r="C21" s="35">
        <v>0.83333333333333337</v>
      </c>
    </row>
    <row r="22" spans="1:3">
      <c r="A22" s="1" t="s">
        <v>118</v>
      </c>
      <c r="B22" s="66">
        <f ca="1">TODAY()</f>
        <v>46211</v>
      </c>
      <c r="C22" s="35">
        <v>0.83333333333333337</v>
      </c>
    </row>
    <row r="23" spans="1:3" hidden="1">
      <c r="A23" s="1" t="s">
        <v>119</v>
      </c>
      <c r="B23" s="66">
        <v>44969</v>
      </c>
      <c r="C23" s="35">
        <v>0.83333333333333337</v>
      </c>
    </row>
    <row r="24" spans="1:3">
      <c r="A24" s="1" t="s">
        <v>196</v>
      </c>
      <c r="B24" s="66">
        <f ca="1">TODAY()</f>
        <v>46211</v>
      </c>
      <c r="C24" s="35">
        <v>0.83333333333333337</v>
      </c>
    </row>
    <row r="25" spans="1:3">
      <c r="A25" s="1" t="s">
        <v>121</v>
      </c>
      <c r="B25" s="66">
        <f ca="1">TODAY()</f>
        <v>46211</v>
      </c>
      <c r="C25" s="35">
        <v>0.83333333333333337</v>
      </c>
    </row>
    <row r="26" spans="1:3" hidden="1">
      <c r="A26" s="1" t="s">
        <v>122</v>
      </c>
      <c r="B26" s="66">
        <v>44764</v>
      </c>
      <c r="C26" s="35">
        <v>0.83333333333333337</v>
      </c>
    </row>
    <row r="27" spans="1:3">
      <c r="A27" s="1" t="s">
        <v>197</v>
      </c>
      <c r="B27" s="66">
        <f ca="1">TODAY()</f>
        <v>46211</v>
      </c>
      <c r="C27" s="35">
        <v>0.83333333333333337</v>
      </c>
    </row>
    <row r="28" spans="1:3" hidden="1">
      <c r="A28" s="1" t="s">
        <v>208</v>
      </c>
      <c r="B28" s="66">
        <v>44769</v>
      </c>
      <c r="C28" s="35">
        <v>0.83333333333333337</v>
      </c>
    </row>
    <row r="29" spans="1:3">
      <c r="A29" s="1" t="s">
        <v>211</v>
      </c>
      <c r="B29" s="66">
        <f ca="1">TODAY()</f>
        <v>46211</v>
      </c>
      <c r="C29" s="35">
        <v>0.83333333333333337</v>
      </c>
    </row>
    <row r="30" spans="1:3" hidden="1">
      <c r="A30" s="1" t="s">
        <v>233</v>
      </c>
      <c r="B30" s="66">
        <f ca="1">TODAY()</f>
        <v>46211</v>
      </c>
      <c r="C30" s="35">
        <v>0.83333333333333337</v>
      </c>
    </row>
    <row r="31" spans="1:3" ht="16.5" customHeight="1">
      <c r="A31" s="16" t="s">
        <v>218</v>
      </c>
      <c r="B31" s="66">
        <f t="shared" ref="B31:B39" ca="1" si="1">TODAY()</f>
        <v>46211</v>
      </c>
      <c r="C31" s="35">
        <v>0.83333333333333337</v>
      </c>
    </row>
    <row r="32" spans="1:3" hidden="1">
      <c r="A32" s="3" t="s">
        <v>199</v>
      </c>
      <c r="B32" s="66">
        <f t="shared" ca="1" si="1"/>
        <v>46211</v>
      </c>
      <c r="C32" s="35">
        <v>0.83333333333333337</v>
      </c>
    </row>
    <row r="33" spans="1:3" hidden="1">
      <c r="A33" s="3" t="s">
        <v>200</v>
      </c>
      <c r="B33" s="66">
        <f t="shared" ca="1" si="1"/>
        <v>46211</v>
      </c>
      <c r="C33" s="35">
        <v>0.83333333333333337</v>
      </c>
    </row>
    <row r="34" spans="1:3" hidden="1">
      <c r="A34" s="3" t="s">
        <v>201</v>
      </c>
      <c r="B34" s="66">
        <f t="shared" ca="1" si="1"/>
        <v>46211</v>
      </c>
      <c r="C34" s="35">
        <v>0.83333333333333337</v>
      </c>
    </row>
    <row r="35" spans="1:3" hidden="1">
      <c r="A35" s="3" t="s">
        <v>202</v>
      </c>
      <c r="B35" s="66">
        <f t="shared" ca="1" si="1"/>
        <v>46211</v>
      </c>
      <c r="C35" s="35">
        <v>0.83333333333333337</v>
      </c>
    </row>
    <row r="36" spans="1:3" hidden="1">
      <c r="A36" s="3" t="s">
        <v>203</v>
      </c>
      <c r="B36" s="66">
        <f t="shared" ca="1" si="1"/>
        <v>46211</v>
      </c>
      <c r="C36" s="35">
        <v>0.83333333333333337</v>
      </c>
    </row>
    <row r="37" spans="1:3" hidden="1">
      <c r="A37" s="3" t="s">
        <v>212</v>
      </c>
      <c r="B37" s="66">
        <f t="shared" ca="1" si="1"/>
        <v>46211</v>
      </c>
      <c r="C37" s="35">
        <v>0.83333333333333337</v>
      </c>
    </row>
    <row r="38" spans="1:3" hidden="1">
      <c r="A38" s="3" t="s">
        <v>204</v>
      </c>
      <c r="B38" s="66">
        <f t="shared" ca="1" si="1"/>
        <v>46211</v>
      </c>
      <c r="C38" s="35">
        <v>0.83333333333333337</v>
      </c>
    </row>
    <row r="39" spans="1:3">
      <c r="A39" s="3" t="s">
        <v>219</v>
      </c>
      <c r="B39" s="66">
        <f t="shared" ca="1" si="1"/>
        <v>46211</v>
      </c>
      <c r="C39" s="35">
        <v>0.83333333333333337</v>
      </c>
    </row>
    <row r="40" spans="1:3">
      <c r="A40" s="3" t="s">
        <v>182</v>
      </c>
      <c r="B40" s="66">
        <f ca="1">TODAY()</f>
        <v>46211</v>
      </c>
      <c r="C40" s="35">
        <v>0.83333333333333337</v>
      </c>
    </row>
    <row r="41" spans="1:3">
      <c r="A41" s="3" t="s">
        <v>183</v>
      </c>
      <c r="B41" s="66">
        <f ca="1">TODAY()</f>
        <v>46211</v>
      </c>
      <c r="C41" s="35">
        <v>0.83333333333333337</v>
      </c>
    </row>
    <row r="42" spans="1:3">
      <c r="A42" s="3" t="s">
        <v>137</v>
      </c>
      <c r="B42" s="66">
        <f ca="1">TODAY()</f>
        <v>46211</v>
      </c>
      <c r="C42" s="35">
        <v>0.83333333333333337</v>
      </c>
    </row>
    <row r="43" spans="1:3" hidden="1">
      <c r="A43" s="1" t="s">
        <v>139</v>
      </c>
      <c r="B43" s="67">
        <v>45128</v>
      </c>
      <c r="C43" s="35">
        <v>0.83333333333333337</v>
      </c>
    </row>
    <row r="44" spans="1:3" hidden="1">
      <c r="A44" s="1" t="s">
        <v>140</v>
      </c>
      <c r="B44" s="67">
        <v>45128</v>
      </c>
      <c r="C44" s="35">
        <v>0.83333333333333337</v>
      </c>
    </row>
    <row r="45" spans="1:3" hidden="1">
      <c r="A45" s="29" t="s">
        <v>141</v>
      </c>
      <c r="B45" s="67">
        <v>45128</v>
      </c>
      <c r="C45" s="35">
        <v>0.83333333333333337</v>
      </c>
    </row>
    <row r="46" spans="1:3" hidden="1">
      <c r="A46" s="1" t="s">
        <v>142</v>
      </c>
      <c r="B46" s="67">
        <v>45128</v>
      </c>
      <c r="C46" s="35">
        <v>0.83333333333333337</v>
      </c>
    </row>
    <row r="47" spans="1:3" hidden="1">
      <c r="A47" s="3" t="s">
        <v>143</v>
      </c>
      <c r="B47" s="67">
        <v>45128</v>
      </c>
      <c r="C47" s="35">
        <v>0.83333333333333337</v>
      </c>
    </row>
    <row r="48" spans="1:3" hidden="1">
      <c r="A48" s="3" t="s">
        <v>206</v>
      </c>
      <c r="B48" s="67">
        <v>45128</v>
      </c>
      <c r="C48" s="35">
        <v>0.83333333333333337</v>
      </c>
    </row>
    <row r="49" spans="1:11" hidden="1">
      <c r="A49" s="3" t="s">
        <v>206</v>
      </c>
      <c r="B49" s="67">
        <v>45128</v>
      </c>
      <c r="C49" s="35">
        <v>0.83333333333333337</v>
      </c>
    </row>
    <row r="50" spans="1:11">
      <c r="A50" s="3" t="s">
        <v>145</v>
      </c>
      <c r="B50" s="66">
        <f t="shared" ref="B50:B58" ca="1" si="2">TODAY()</f>
        <v>46211</v>
      </c>
      <c r="C50" s="35">
        <v>0.83333333333333337</v>
      </c>
    </row>
    <row r="51" spans="1:11">
      <c r="A51" s="3" t="s">
        <v>149</v>
      </c>
      <c r="B51" s="66">
        <f t="shared" ca="1" si="2"/>
        <v>46211</v>
      </c>
      <c r="C51" s="35">
        <v>0.83333333333333337</v>
      </c>
    </row>
    <row r="52" spans="1:11">
      <c r="A52" s="3" t="s">
        <v>151</v>
      </c>
      <c r="B52" s="66">
        <f t="shared" ca="1" si="2"/>
        <v>46211</v>
      </c>
      <c r="C52" s="35">
        <v>0.83333333333333337</v>
      </c>
    </row>
    <row r="53" spans="1:11" ht="15" customHeight="1">
      <c r="A53" s="3" t="s">
        <v>153</v>
      </c>
      <c r="B53" s="66">
        <f t="shared" ca="1" si="2"/>
        <v>46211</v>
      </c>
      <c r="C53" s="35">
        <v>0.83333333333333337</v>
      </c>
    </row>
    <row r="54" spans="1:11">
      <c r="A54" s="3" t="s">
        <v>155</v>
      </c>
      <c r="B54" s="66">
        <f t="shared" ca="1" si="2"/>
        <v>46211</v>
      </c>
      <c r="C54" s="35">
        <v>0.83333333333333337</v>
      </c>
    </row>
    <row r="55" spans="1:11">
      <c r="A55" s="3" t="s">
        <v>157</v>
      </c>
      <c r="B55" s="66">
        <f t="shared" ca="1" si="2"/>
        <v>46211</v>
      </c>
      <c r="C55" s="35">
        <v>0.83333333333333337</v>
      </c>
    </row>
    <row r="56" spans="1:11">
      <c r="A56" s="3" t="s">
        <v>159</v>
      </c>
      <c r="B56" s="66">
        <f t="shared" ca="1" si="2"/>
        <v>46211</v>
      </c>
      <c r="C56" s="35">
        <v>0.83333333333333337</v>
      </c>
    </row>
    <row r="57" spans="1:11" ht="13.5" customHeight="1">
      <c r="A57" s="3" t="s">
        <v>161</v>
      </c>
      <c r="B57" s="66">
        <f t="shared" ca="1" si="2"/>
        <v>46211</v>
      </c>
      <c r="C57" s="35">
        <v>0.83333333333333337</v>
      </c>
    </row>
    <row r="58" spans="1:11" ht="13.5" hidden="1" customHeight="1">
      <c r="A58" s="261" t="s">
        <v>221</v>
      </c>
      <c r="B58" s="66">
        <f t="shared" ca="1" si="2"/>
        <v>46211</v>
      </c>
      <c r="C58" s="35">
        <v>0.83333333333333337</v>
      </c>
    </row>
    <row r="59" spans="1:11" hidden="1">
      <c r="A59" s="3" t="s">
        <v>220</v>
      </c>
      <c r="B59" s="67">
        <v>45088</v>
      </c>
      <c r="C59" s="35">
        <v>0.83333333333333337</v>
      </c>
    </row>
    <row r="60" spans="1:11" hidden="1">
      <c r="A60" s="3" t="s">
        <v>221</v>
      </c>
      <c r="B60" s="69">
        <f t="shared" ref="B60:B71" ca="1" si="3">TODAY()</f>
        <v>46211</v>
      </c>
      <c r="C60" s="35">
        <v>0.83333333333333337</v>
      </c>
    </row>
    <row r="61" spans="1:11">
      <c r="A61" s="3" t="s">
        <v>163</v>
      </c>
      <c r="B61" s="66">
        <f t="shared" ca="1" si="3"/>
        <v>46211</v>
      </c>
      <c r="C61" s="35">
        <v>0.83333333333333337</v>
      </c>
    </row>
    <row r="62" spans="1:11" ht="14.25" customHeight="1">
      <c r="A62" s="3" t="s">
        <v>165</v>
      </c>
      <c r="B62" s="66">
        <f t="shared" ca="1" si="3"/>
        <v>46211</v>
      </c>
      <c r="C62" s="35">
        <v>0.83333333333333337</v>
      </c>
    </row>
    <row r="63" spans="1:11">
      <c r="A63" s="3" t="s">
        <v>167</v>
      </c>
      <c r="B63" s="66">
        <f t="shared" ca="1" si="3"/>
        <v>46211</v>
      </c>
      <c r="C63" s="35">
        <v>0.83333333333333337</v>
      </c>
    </row>
    <row r="64" spans="1:11">
      <c r="A64" s="3" t="s">
        <v>169</v>
      </c>
      <c r="B64" s="66">
        <f t="shared" ca="1" si="3"/>
        <v>46211</v>
      </c>
      <c r="C64" s="35">
        <v>0.83333333333333337</v>
      </c>
      <c r="G64" s="340"/>
      <c r="H64" s="340"/>
      <c r="I64" s="340"/>
      <c r="J64" s="340"/>
      <c r="K64" s="340"/>
    </row>
    <row r="65" spans="1:3" ht="14.25" customHeight="1">
      <c r="A65" s="3" t="s">
        <v>172</v>
      </c>
      <c r="B65" s="66">
        <f t="shared" ca="1" si="3"/>
        <v>46211</v>
      </c>
      <c r="C65" s="35">
        <v>0.83333333333333337</v>
      </c>
    </row>
    <row r="66" spans="1:3" ht="13.5" customHeight="1">
      <c r="A66" s="3" t="s">
        <v>224</v>
      </c>
      <c r="B66" s="69">
        <f t="shared" ca="1" si="3"/>
        <v>46211</v>
      </c>
      <c r="C66" s="15">
        <v>0.83333333333333337</v>
      </c>
    </row>
    <row r="67" spans="1:3" ht="15.75" customHeight="1">
      <c r="A67" s="3" t="s">
        <v>174</v>
      </c>
      <c r="B67" s="66">
        <f t="shared" ca="1" si="3"/>
        <v>46211</v>
      </c>
      <c r="C67" s="35">
        <v>0.83333333333333337</v>
      </c>
    </row>
    <row r="68" spans="1:3">
      <c r="A68" s="3" t="s">
        <v>311</v>
      </c>
      <c r="B68" s="66">
        <f t="shared" ca="1" si="3"/>
        <v>46211</v>
      </c>
      <c r="C68" s="35">
        <v>0.83333333333333337</v>
      </c>
    </row>
    <row r="69" spans="1:3">
      <c r="A69" s="3" t="s">
        <v>409</v>
      </c>
      <c r="B69" s="66">
        <f t="shared" ca="1" si="3"/>
        <v>46211</v>
      </c>
      <c r="C69" s="35">
        <v>0.83333333333333337</v>
      </c>
    </row>
    <row r="70" spans="1:3">
      <c r="A70" s="3" t="s">
        <v>410</v>
      </c>
      <c r="B70" s="66">
        <f t="shared" ca="1" si="3"/>
        <v>46211</v>
      </c>
      <c r="C70" s="35">
        <v>0.83333333333333337</v>
      </c>
    </row>
    <row r="71" spans="1:3">
      <c r="A71" s="3" t="s">
        <v>411</v>
      </c>
      <c r="B71" s="66">
        <f t="shared" ca="1" si="3"/>
        <v>46211</v>
      </c>
      <c r="C71" s="35">
        <v>0.83333333333333337</v>
      </c>
    </row>
  </sheetData>
  <mergeCells count="5">
    <mergeCell ref="B1:C1"/>
    <mergeCell ref="B2:C2"/>
    <mergeCell ref="B3:C3"/>
    <mergeCell ref="A6:C6"/>
    <mergeCell ref="G64:K64"/>
  </mergeCells>
  <printOptions horizontalCentered="1"/>
  <pageMargins left="0" right="0" top="0" bottom="0" header="0" footer="0"/>
  <pageSetup paperSize="9" scale="66" orientation="portrait" blackAndWhite="1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736B53-0F2A-42AF-9E77-BF7571F3D9A7}">
          <x14:formula1>
            <xm:f>BD!$A$2:$A$4</xm:f>
          </x14:formula1>
          <xm:sqref>B3:C3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Q5">
    <tabColor theme="0"/>
  </sheetPr>
  <dimension ref="A1:K44"/>
  <sheetViews>
    <sheetView view="pageBreakPreview" zoomScale="120" zoomScaleNormal="130" zoomScaleSheetLayoutView="120" workbookViewId="0">
      <selection activeCell="B9" sqref="B9"/>
    </sheetView>
  </sheetViews>
  <sheetFormatPr defaultRowHeight="15"/>
  <cols>
    <col min="1" max="1" width="65.7109375" customWidth="1"/>
    <col min="2" max="2" width="25.7109375" customWidth="1"/>
    <col min="3" max="3" width="28.85546875" customWidth="1"/>
    <col min="5" max="5" width="16.140625" customWidth="1"/>
  </cols>
  <sheetData>
    <row r="1" spans="1:11" ht="45" customHeight="1">
      <c r="A1" s="9"/>
      <c r="B1" s="337"/>
      <c r="C1" s="337"/>
      <c r="F1" s="281" t="s">
        <v>415</v>
      </c>
    </row>
    <row r="2" spans="1:11" ht="15.75" customHeight="1">
      <c r="A2" s="9"/>
      <c r="B2" s="338" t="s">
        <v>0</v>
      </c>
      <c r="C2" s="338"/>
    </row>
    <row r="3" spans="1:11" ht="43.5" customHeight="1">
      <c r="A3" s="9"/>
      <c r="B3" s="338" t="str">
        <f>'Тека ГП'!B3:C3</f>
        <v>Начальник мясного цеха 
Пискунов.А.А</v>
      </c>
      <c r="C3" s="338"/>
    </row>
    <row r="4" spans="1:11" ht="18.75" customHeight="1">
      <c r="A4" s="9"/>
      <c r="B4" s="11" t="s">
        <v>5</v>
      </c>
      <c r="C4" s="12">
        <f ca="1">'Тека ГП'!$C$4</f>
        <v>46211</v>
      </c>
    </row>
    <row r="5" spans="1:11" ht="18.75">
      <c r="A5" s="9"/>
      <c r="B5" s="13"/>
      <c r="C5" s="11"/>
    </row>
    <row r="6" spans="1:11" ht="65.099999999999994" customHeight="1">
      <c r="A6" s="334" t="s">
        <v>186</v>
      </c>
      <c r="B6" s="335"/>
      <c r="C6" s="335"/>
      <c r="E6" s="21"/>
      <c r="F6" s="280"/>
    </row>
    <row r="7" spans="1:11" ht="21">
      <c r="A7" s="5" t="s">
        <v>2</v>
      </c>
      <c r="B7" s="6" t="s">
        <v>6</v>
      </c>
      <c r="C7" s="6" t="s">
        <v>7</v>
      </c>
      <c r="F7" s="280"/>
    </row>
    <row r="8" spans="1:11">
      <c r="A8" s="230" t="s">
        <v>106</v>
      </c>
      <c r="B8" s="231" t="str">
        <f>IF('Тека ГП'!B9="","",VALUE('Тека ГП'!B9))</f>
        <v/>
      </c>
      <c r="C8" s="232" t="str">
        <f>IF('Тека ГП'!C9="","",VALUE('Тека ГП'!C9))</f>
        <v/>
      </c>
      <c r="F8" s="286"/>
      <c r="G8" s="4"/>
      <c r="H8" s="4"/>
      <c r="I8" s="4"/>
      <c r="J8" s="4"/>
      <c r="K8" s="4"/>
    </row>
    <row r="9" spans="1:11">
      <c r="A9" s="233" t="s">
        <v>123</v>
      </c>
      <c r="B9" s="231" t="str">
        <f>IF('Тека ГП'!B13="","",VALUE('Тека ГП'!B13))</f>
        <v/>
      </c>
      <c r="C9" s="232" t="str">
        <f>IF('Тека ГП'!C13="","",VALUE('Тека ГП'!C13))</f>
        <v/>
      </c>
      <c r="F9" s="287"/>
      <c r="G9" s="234"/>
      <c r="H9" s="234"/>
      <c r="I9" s="234"/>
      <c r="J9" s="234"/>
      <c r="K9" s="4"/>
    </row>
    <row r="10" spans="1:11">
      <c r="A10" s="233" t="s">
        <v>124</v>
      </c>
      <c r="B10" s="231" t="str">
        <f>IF('Тека ГП'!B14="","",VALUE('Тека ГП'!B14))</f>
        <v/>
      </c>
      <c r="C10" s="232" t="str">
        <f>IF('Тека ГП'!C14="","",VALUE('Тека ГП'!C14))</f>
        <v/>
      </c>
      <c r="F10" s="287"/>
      <c r="G10" s="234"/>
      <c r="H10" s="234"/>
      <c r="I10" s="234"/>
      <c r="J10" s="234"/>
      <c r="K10" s="4"/>
    </row>
    <row r="11" spans="1:11">
      <c r="A11" s="233" t="s">
        <v>210</v>
      </c>
      <c r="B11" s="231" t="str">
        <f>IF('Тека ГП'!B15="","",VALUE('Тека ГП'!B15))</f>
        <v/>
      </c>
      <c r="C11" s="232" t="str">
        <f>IF('Тека ГП'!C15="","",VALUE('Тека ГП'!C15))</f>
        <v/>
      </c>
      <c r="F11" s="287"/>
      <c r="G11" s="234"/>
      <c r="H11" s="234"/>
      <c r="I11" s="234"/>
      <c r="J11" s="234"/>
      <c r="K11" s="4"/>
    </row>
    <row r="12" spans="1:11">
      <c r="A12" s="233" t="s">
        <v>209</v>
      </c>
      <c r="B12" s="231" t="str">
        <f>IF('Тека ГП'!B16="","",VALUE('Тека ГП'!B16))</f>
        <v/>
      </c>
      <c r="C12" s="232" t="str">
        <f>IF('Тека ГП'!C16="","",VALUE('Тека ГП'!C16))</f>
        <v/>
      </c>
      <c r="F12" s="287"/>
      <c r="G12" s="234"/>
      <c r="H12" s="234"/>
      <c r="I12" s="234"/>
      <c r="J12" s="234"/>
      <c r="K12" s="4"/>
    </row>
    <row r="13" spans="1:11" ht="14.25" customHeight="1">
      <c r="A13" s="233" t="s">
        <v>128</v>
      </c>
      <c r="B13" s="231" t="str">
        <f>IF('Тека ГП'!B18="","",VALUE('Тека ГП'!B18))</f>
        <v/>
      </c>
      <c r="C13" s="232" t="str">
        <f>IF('Тека ГП'!C18="","",VALUE('Тека ГП'!C18))</f>
        <v/>
      </c>
      <c r="F13" s="288"/>
      <c r="G13" s="235"/>
      <c r="H13" s="235"/>
      <c r="I13" s="235"/>
      <c r="J13" s="235"/>
      <c r="K13" s="4"/>
    </row>
    <row r="14" spans="1:11">
      <c r="A14" s="233" t="s">
        <v>176</v>
      </c>
      <c r="B14" s="231" t="str">
        <f>IF('Тека ГП'!B21="","",VALUE('Тека ГП'!B21))</f>
        <v/>
      </c>
      <c r="C14" s="232" t="str">
        <f>IF('Тека ГП'!C21="","",VALUE('Тека ГП'!C21))</f>
        <v/>
      </c>
      <c r="F14" s="286"/>
      <c r="G14" s="4"/>
      <c r="H14" s="4"/>
      <c r="I14" s="4"/>
      <c r="J14" s="4"/>
      <c r="K14" s="4"/>
    </row>
    <row r="15" spans="1:11">
      <c r="A15" s="70" t="s">
        <v>154</v>
      </c>
      <c r="B15" s="14" t="str">
        <f>IF('Тека ГП'!B39="","",VALUE('Тека ГП'!B39))</f>
        <v/>
      </c>
      <c r="C15" s="15" t="str">
        <f>IF('Тека ГП'!C39="","",VALUE('Тека ГП'!C39))</f>
        <v/>
      </c>
      <c r="F15" s="280"/>
    </row>
    <row r="16" spans="1:11">
      <c r="A16" s="70" t="s">
        <v>156</v>
      </c>
      <c r="B16" s="14" t="str">
        <f>IF('Тека ГП'!B40="","",VALUE('Тека ГП'!B40))</f>
        <v/>
      </c>
      <c r="C16" s="15" t="str">
        <f>IF('Тека ГП'!C40="","",VALUE('Тека ГП'!C40))</f>
        <v/>
      </c>
      <c r="F16" s="280"/>
    </row>
    <row r="17" spans="1:6">
      <c r="A17" s="30" t="s">
        <v>166</v>
      </c>
      <c r="B17" s="14" t="str">
        <f>IF('Тека ГП'!B45="","",VALUE('Тека ГП'!B45))</f>
        <v/>
      </c>
      <c r="C17" s="8" t="str">
        <f>IF('Тека ГП'!C45="","",VALUE('Тека ГП'!C45))</f>
        <v/>
      </c>
      <c r="F17" s="280"/>
    </row>
    <row r="18" spans="1:6">
      <c r="A18" s="30" t="s">
        <v>168</v>
      </c>
      <c r="B18" s="14" t="str">
        <f>IF('Тека ГП'!B46="","",VALUE('Тека ГП'!B46))</f>
        <v/>
      </c>
      <c r="C18" s="8" t="str">
        <f>IF('Тека ГП'!C46="","",VALUE('Тека ГП'!C46))</f>
        <v/>
      </c>
      <c r="F18" s="280"/>
    </row>
    <row r="19" spans="1:6">
      <c r="A19" s="30" t="s">
        <v>170</v>
      </c>
      <c r="B19" s="14" t="str">
        <f>IF('Тека ГП'!B47="","",VALUE('Тека ГП'!B47))</f>
        <v/>
      </c>
      <c r="C19" s="8" t="str">
        <f>IF('Тека ГП'!C47="","",VALUE('Тека ГП'!C47))</f>
        <v/>
      </c>
      <c r="F19" s="280"/>
    </row>
    <row r="20" spans="1:6">
      <c r="A20" s="70" t="s">
        <v>223</v>
      </c>
      <c r="B20" s="14" t="str">
        <f>IF('Тека ГП'!B51="","",VALUE('Тека ГП'!B51))</f>
        <v/>
      </c>
      <c r="C20" s="8" t="str">
        <f>IF('Тека ГП'!C51="","",VALUE('Тека ГП'!C51))</f>
        <v/>
      </c>
      <c r="F20" s="280"/>
    </row>
    <row r="21" spans="1:6" ht="16.5" customHeight="1">
      <c r="A21" s="70" t="s">
        <v>132</v>
      </c>
      <c r="B21" s="14" t="str">
        <f>IF('Тека ГП'!B27="","",VALUE('Тека ГП'!B27))</f>
        <v/>
      </c>
      <c r="C21" s="8" t="str">
        <f>IF('Тека ГП'!C27="","",VALUE('Тека ГП'!C27))</f>
        <v/>
      </c>
      <c r="F21" s="280"/>
    </row>
    <row r="22" spans="1:6">
      <c r="A22" s="3" t="s">
        <v>398</v>
      </c>
      <c r="B22" s="14" t="str">
        <f>IF('Тека ГП'!B53="","",VALUE('Тека ГП'!B53))</f>
        <v/>
      </c>
      <c r="C22" s="8" t="str">
        <f>IF('Тека ГП'!C53="","",VALUE('Тека ГП'!C53))</f>
        <v/>
      </c>
      <c r="F22" s="280"/>
    </row>
    <row r="23" spans="1:6">
      <c r="A23" s="1" t="s">
        <v>401</v>
      </c>
      <c r="B23" s="14" t="str">
        <f>IF('Тека ГП'!B54="","",VALUE('Тека ГП'!B54))</f>
        <v/>
      </c>
      <c r="C23" s="8" t="str">
        <f>IF('Тека ГП'!C54="","",VALUE('Тека ГП'!C54))</f>
        <v/>
      </c>
      <c r="F23" s="280"/>
    </row>
    <row r="24" spans="1:6">
      <c r="A24" s="3" t="s">
        <v>402</v>
      </c>
      <c r="B24" s="14" t="str">
        <f>IF('Тека ГП'!B55="","",VALUE('Тека ГП'!B55))</f>
        <v/>
      </c>
      <c r="C24" s="8" t="str">
        <f>IF('Тека ГП'!C55="","",VALUE('Тека ГП'!C55))</f>
        <v/>
      </c>
      <c r="F24" s="280"/>
    </row>
    <row r="25" spans="1:6">
      <c r="A25" s="1"/>
      <c r="B25" s="7"/>
      <c r="C25" s="8"/>
    </row>
    <row r="26" spans="1:6">
      <c r="A26" s="1"/>
      <c r="B26" s="7"/>
      <c r="C26" s="8"/>
    </row>
    <row r="27" spans="1:6">
      <c r="A27" s="1"/>
      <c r="B27" s="7"/>
      <c r="C27" s="8"/>
    </row>
    <row r="28" spans="1:6">
      <c r="A28" s="1"/>
      <c r="B28" s="7"/>
      <c r="C28" s="8"/>
    </row>
    <row r="29" spans="1:6">
      <c r="A29" s="1"/>
      <c r="B29" s="7"/>
      <c r="C29" s="8"/>
    </row>
    <row r="30" spans="1:6">
      <c r="A30" s="1"/>
      <c r="B30" s="7"/>
      <c r="C30" s="8"/>
    </row>
    <row r="31" spans="1:6">
      <c r="A31" s="3"/>
      <c r="B31" s="7"/>
      <c r="C31" s="8"/>
    </row>
    <row r="32" spans="1:6">
      <c r="A32" s="3"/>
      <c r="B32" s="7"/>
      <c r="C32" s="8"/>
    </row>
    <row r="33" spans="1:3">
      <c r="A33" s="3"/>
      <c r="B33" s="7"/>
      <c r="C33" s="8"/>
    </row>
    <row r="34" spans="1:3">
      <c r="A34" s="3"/>
      <c r="B34" s="7"/>
      <c r="C34" s="8"/>
    </row>
    <row r="35" spans="1:3">
      <c r="A35" s="3"/>
      <c r="B35" s="7"/>
      <c r="C35" s="8"/>
    </row>
    <row r="36" spans="1:3">
      <c r="A36" s="3"/>
      <c r="B36" s="7"/>
      <c r="C36" s="8"/>
    </row>
    <row r="37" spans="1:3" ht="15.75" customHeight="1">
      <c r="A37" s="3"/>
      <c r="B37" s="7"/>
      <c r="C37" s="8"/>
    </row>
    <row r="38" spans="1:3" ht="15.75" customHeight="1">
      <c r="A38" s="3"/>
      <c r="B38" s="7"/>
      <c r="C38" s="8"/>
    </row>
    <row r="39" spans="1:3">
      <c r="A39" s="3"/>
      <c r="B39" s="7"/>
      <c r="C39" s="8"/>
    </row>
    <row r="40" spans="1:3">
      <c r="A40" s="3"/>
      <c r="B40" s="7"/>
      <c r="C40" s="8"/>
    </row>
    <row r="41" spans="1:3">
      <c r="A41" s="3"/>
      <c r="B41" s="7"/>
      <c r="C41" s="8"/>
    </row>
    <row r="42" spans="1:3">
      <c r="A42" s="4"/>
      <c r="B42" s="4"/>
      <c r="C42" s="4"/>
    </row>
    <row r="44" spans="1:3" ht="15" customHeight="1"/>
  </sheetData>
  <mergeCells count="4">
    <mergeCell ref="B1:C1"/>
    <mergeCell ref="B2:C2"/>
    <mergeCell ref="B3:C3"/>
    <mergeCell ref="A6:C6"/>
  </mergeCells>
  <printOptions horizontalCentered="1"/>
  <pageMargins left="0" right="0" top="0" bottom="0" header="0" footer="0"/>
  <pageSetup paperSize="9" scale="83" orientation="portrait" blackAndWhite="1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A23E7-0D9A-44C4-B963-2D73F4C84982}">
  <sheetPr codeName="Q7">
    <tabColor theme="0"/>
    <pageSetUpPr fitToPage="1"/>
  </sheetPr>
  <dimension ref="A1:L72"/>
  <sheetViews>
    <sheetView view="pageBreakPreview" topLeftCell="A41" zoomScaleNormal="120" zoomScaleSheetLayoutView="100" workbookViewId="0">
      <selection activeCell="A56" sqref="A56:A57"/>
    </sheetView>
  </sheetViews>
  <sheetFormatPr defaultRowHeight="15"/>
  <cols>
    <col min="1" max="1" width="68.7109375" bestFit="1" customWidth="1"/>
    <col min="2" max="2" width="28" customWidth="1"/>
    <col min="3" max="3" width="31.7109375" customWidth="1"/>
    <col min="4" max="4" width="0.28515625" customWidth="1"/>
  </cols>
  <sheetData>
    <row r="1" spans="1:12" ht="35.25" hidden="1" customHeight="1">
      <c r="A1" s="9"/>
      <c r="B1" s="332"/>
      <c r="C1" s="332"/>
      <c r="F1" s="281" t="s">
        <v>413</v>
      </c>
      <c r="L1" t="s">
        <v>225</v>
      </c>
    </row>
    <row r="2" spans="1:12" ht="15.75" customHeight="1">
      <c r="A2" s="9"/>
      <c r="B2" s="333"/>
      <c r="C2" s="333"/>
    </row>
    <row r="3" spans="1:12" ht="24" customHeight="1">
      <c r="A3" s="9"/>
      <c r="B3" s="333"/>
      <c r="C3" s="333"/>
      <c r="D3" s="44"/>
    </row>
    <row r="4" spans="1:12" ht="28.5" customHeight="1">
      <c r="A4" s="53" t="s">
        <v>226</v>
      </c>
      <c r="B4" s="54" t="s">
        <v>227</v>
      </c>
      <c r="C4" s="37"/>
    </row>
    <row r="5" spans="1:12" ht="17.25" customHeight="1">
      <c r="A5" s="9"/>
      <c r="B5" s="43"/>
      <c r="C5" s="36"/>
    </row>
    <row r="6" spans="1:12" ht="39.75" customHeight="1">
      <c r="A6" s="341" t="s">
        <v>186</v>
      </c>
      <c r="B6" s="342"/>
      <c r="C6" s="342"/>
      <c r="F6" s="280"/>
    </row>
    <row r="7" spans="1:12" ht="18.75" thickBot="1">
      <c r="A7" s="293" t="s">
        <v>2</v>
      </c>
      <c r="B7" s="294" t="s">
        <v>9</v>
      </c>
      <c r="C7" s="294" t="s">
        <v>8</v>
      </c>
      <c r="D7" s="42"/>
      <c r="F7" s="280"/>
    </row>
    <row r="8" spans="1:12" ht="20.100000000000001" customHeight="1">
      <c r="A8" s="295" t="s">
        <v>103</v>
      </c>
      <c r="B8" s="296"/>
      <c r="C8" s="297"/>
      <c r="D8" s="19"/>
      <c r="F8" s="280"/>
    </row>
    <row r="9" spans="1:12" ht="20.100000000000001" customHeight="1">
      <c r="A9" s="298" t="s">
        <v>106</v>
      </c>
      <c r="B9" s="39"/>
      <c r="C9" s="299"/>
      <c r="D9" s="19"/>
      <c r="F9" s="280"/>
    </row>
    <row r="10" spans="1:12" ht="20.100000000000001" customHeight="1">
      <c r="A10" s="298" t="s">
        <v>117</v>
      </c>
      <c r="B10" s="39"/>
      <c r="C10" s="299"/>
      <c r="F10" s="280"/>
    </row>
    <row r="11" spans="1:12" ht="20.100000000000001" customHeight="1">
      <c r="A11" s="298" t="s">
        <v>234</v>
      </c>
      <c r="B11" s="39"/>
      <c r="C11" s="299"/>
      <c r="F11" s="280"/>
    </row>
    <row r="12" spans="1:12" ht="20.100000000000001" customHeight="1">
      <c r="A12" s="298" t="s">
        <v>388</v>
      </c>
      <c r="B12" s="39"/>
      <c r="C12" s="299"/>
      <c r="F12" s="280"/>
    </row>
    <row r="13" spans="1:12" ht="20.100000000000001" customHeight="1">
      <c r="A13" s="298" t="s">
        <v>422</v>
      </c>
      <c r="B13" s="39"/>
      <c r="C13" s="299"/>
      <c r="F13" s="280"/>
    </row>
    <row r="14" spans="1:12" ht="20.100000000000001" customHeight="1">
      <c r="A14" s="300" t="s">
        <v>124</v>
      </c>
      <c r="B14" s="39"/>
      <c r="C14" s="299"/>
      <c r="F14" s="283"/>
    </row>
    <row r="15" spans="1:12" ht="20.100000000000001" customHeight="1">
      <c r="A15" s="298" t="s">
        <v>210</v>
      </c>
      <c r="B15" s="39"/>
      <c r="C15" s="299"/>
      <c r="F15" s="280"/>
    </row>
    <row r="16" spans="1:12" ht="20.100000000000001" customHeight="1">
      <c r="A16" s="298" t="s">
        <v>209</v>
      </c>
      <c r="B16" s="39"/>
      <c r="C16" s="299"/>
      <c r="F16" s="280"/>
    </row>
    <row r="17" spans="1:6" ht="19.5" customHeight="1">
      <c r="A17" s="301" t="s">
        <v>127</v>
      </c>
      <c r="B17" s="39"/>
      <c r="C17" s="302"/>
      <c r="F17" s="280"/>
    </row>
    <row r="18" spans="1:6" ht="20.100000000000001" customHeight="1">
      <c r="A18" s="301" t="s">
        <v>128</v>
      </c>
      <c r="B18" s="39"/>
      <c r="C18" s="299"/>
      <c r="F18" s="280"/>
    </row>
    <row r="19" spans="1:6" ht="20.100000000000001" customHeight="1">
      <c r="A19" s="301" t="s">
        <v>308</v>
      </c>
      <c r="B19" s="39"/>
      <c r="C19" s="299"/>
      <c r="F19" s="280"/>
    </row>
    <row r="20" spans="1:6" ht="20.100000000000001" customHeight="1">
      <c r="A20" s="301" t="s">
        <v>129</v>
      </c>
      <c r="B20" s="39"/>
      <c r="C20" s="299"/>
      <c r="F20" s="280"/>
    </row>
    <row r="21" spans="1:6" ht="20.100000000000001" customHeight="1">
      <c r="A21" s="301" t="s">
        <v>176</v>
      </c>
      <c r="B21" s="39"/>
      <c r="C21" s="299"/>
      <c r="F21" s="280"/>
    </row>
    <row r="22" spans="1:6" ht="20.100000000000001" customHeight="1">
      <c r="A22" s="298" t="s">
        <v>130</v>
      </c>
      <c r="B22" s="39"/>
      <c r="C22" s="299"/>
      <c r="F22" s="280"/>
    </row>
    <row r="23" spans="1:6" ht="20.100000000000001" customHeight="1">
      <c r="A23" s="303" t="s">
        <v>179</v>
      </c>
      <c r="B23" s="39"/>
      <c r="C23" s="299"/>
      <c r="F23" s="280"/>
    </row>
    <row r="24" spans="1:6" ht="20.100000000000001" customHeight="1">
      <c r="A24" s="303" t="s">
        <v>131</v>
      </c>
      <c r="B24" s="40"/>
      <c r="C24" s="299"/>
      <c r="F24" s="280"/>
    </row>
    <row r="25" spans="1:6" ht="20.100000000000001" customHeight="1">
      <c r="A25" s="301" t="s">
        <v>180</v>
      </c>
      <c r="B25" s="40"/>
      <c r="C25" s="299"/>
      <c r="F25" s="280"/>
    </row>
    <row r="26" spans="1:6" ht="20.100000000000001" customHeight="1">
      <c r="A26" s="298" t="s">
        <v>181</v>
      </c>
      <c r="B26" s="39"/>
      <c r="C26" s="299"/>
      <c r="F26" s="280"/>
    </row>
    <row r="27" spans="1:6" ht="20.100000000000001" customHeight="1">
      <c r="A27" s="301" t="s">
        <v>132</v>
      </c>
      <c r="B27" s="40"/>
      <c r="C27" s="299"/>
      <c r="F27" s="280"/>
    </row>
    <row r="28" spans="1:6" ht="20.100000000000001" customHeight="1">
      <c r="A28" s="301" t="s">
        <v>133</v>
      </c>
      <c r="B28" s="39"/>
      <c r="C28" s="299"/>
      <c r="F28" s="280"/>
    </row>
    <row r="29" spans="1:6" ht="20.100000000000001" customHeight="1">
      <c r="A29" s="301" t="s">
        <v>134</v>
      </c>
      <c r="B29" s="39"/>
      <c r="C29" s="299"/>
      <c r="F29" s="280"/>
    </row>
    <row r="30" spans="1:6" ht="20.100000000000001" customHeight="1">
      <c r="A30" s="301" t="s">
        <v>136</v>
      </c>
      <c r="B30" s="39"/>
      <c r="C30" s="299"/>
      <c r="F30" s="280"/>
    </row>
    <row r="31" spans="1:6" ht="20.100000000000001" customHeight="1">
      <c r="A31" s="301" t="s">
        <v>231</v>
      </c>
      <c r="B31" s="39"/>
      <c r="C31" s="299"/>
      <c r="F31" s="280"/>
    </row>
    <row r="32" spans="1:6" ht="20.100000000000001" customHeight="1">
      <c r="A32" s="301" t="s">
        <v>138</v>
      </c>
      <c r="B32" s="39"/>
      <c r="C32" s="299"/>
      <c r="F32" s="280"/>
    </row>
    <row r="33" spans="1:6" ht="20.100000000000001" customHeight="1">
      <c r="A33" s="298" t="s">
        <v>144</v>
      </c>
      <c r="B33" s="39"/>
      <c r="C33" s="299"/>
      <c r="F33" s="280"/>
    </row>
    <row r="34" spans="1:6" ht="20.100000000000001" customHeight="1">
      <c r="A34" s="298" t="s">
        <v>146</v>
      </c>
      <c r="B34" s="39"/>
      <c r="C34" s="299"/>
      <c r="F34" s="280"/>
    </row>
    <row r="35" spans="1:6" ht="20.100000000000001" customHeight="1">
      <c r="A35" s="301" t="s">
        <v>147</v>
      </c>
      <c r="B35" s="39"/>
      <c r="C35" s="299"/>
      <c r="F35" s="280"/>
    </row>
    <row r="36" spans="1:6" ht="18.75" customHeight="1">
      <c r="A36" s="298" t="s">
        <v>148</v>
      </c>
      <c r="B36" s="39"/>
      <c r="C36" s="299"/>
      <c r="F36" s="280"/>
    </row>
    <row r="37" spans="1:6" ht="20.100000000000001" customHeight="1">
      <c r="A37" s="301" t="s">
        <v>150</v>
      </c>
      <c r="B37" s="39"/>
      <c r="C37" s="299"/>
      <c r="F37" s="280"/>
    </row>
    <row r="38" spans="1:6" ht="20.100000000000001" customHeight="1">
      <c r="A38" s="301" t="s">
        <v>152</v>
      </c>
      <c r="B38" s="39"/>
      <c r="C38" s="299"/>
      <c r="F38" s="280"/>
    </row>
    <row r="39" spans="1:6" ht="20.100000000000001" customHeight="1">
      <c r="A39" s="301" t="s">
        <v>154</v>
      </c>
      <c r="B39" s="39"/>
      <c r="C39" s="299"/>
      <c r="F39" s="280"/>
    </row>
    <row r="40" spans="1:6" ht="20.100000000000001" customHeight="1">
      <c r="A40" s="301" t="s">
        <v>156</v>
      </c>
      <c r="B40" s="39"/>
      <c r="C40" s="299"/>
      <c r="F40" s="280"/>
    </row>
    <row r="41" spans="1:6" ht="20.100000000000001" customHeight="1">
      <c r="A41" s="301" t="s">
        <v>158</v>
      </c>
      <c r="B41" s="39"/>
      <c r="C41" s="299"/>
      <c r="F41" s="280"/>
    </row>
    <row r="42" spans="1:6" ht="20.100000000000001" customHeight="1">
      <c r="A42" s="301" t="s">
        <v>160</v>
      </c>
      <c r="B42" s="39"/>
      <c r="C42" s="299"/>
      <c r="F42" s="280"/>
    </row>
    <row r="43" spans="1:6" ht="20.100000000000001" customHeight="1">
      <c r="A43" s="301" t="s">
        <v>162</v>
      </c>
      <c r="B43" s="39"/>
      <c r="C43" s="299"/>
      <c r="F43" s="280"/>
    </row>
    <row r="44" spans="1:6" ht="20.100000000000001" customHeight="1">
      <c r="A44" s="301" t="s">
        <v>164</v>
      </c>
      <c r="B44" s="39"/>
      <c r="C44" s="299"/>
      <c r="F44" s="280"/>
    </row>
    <row r="45" spans="1:6" ht="20.100000000000001" customHeight="1">
      <c r="A45" s="301" t="s">
        <v>166</v>
      </c>
      <c r="B45" s="39"/>
      <c r="C45" s="299"/>
      <c r="F45" s="280"/>
    </row>
    <row r="46" spans="1:6" ht="20.100000000000001" customHeight="1">
      <c r="A46" s="301" t="s">
        <v>168</v>
      </c>
      <c r="B46" s="39"/>
      <c r="C46" s="299"/>
      <c r="F46" s="280"/>
    </row>
    <row r="47" spans="1:6" ht="20.100000000000001" customHeight="1">
      <c r="A47" s="301" t="s">
        <v>170</v>
      </c>
      <c r="B47" s="39"/>
      <c r="C47" s="299"/>
      <c r="F47" s="280"/>
    </row>
    <row r="48" spans="1:6" ht="20.100000000000001" customHeight="1">
      <c r="A48" s="301" t="s">
        <v>171</v>
      </c>
      <c r="B48" s="39"/>
      <c r="C48" s="299"/>
      <c r="F48" s="280"/>
    </row>
    <row r="49" spans="1:6" ht="20.100000000000001" customHeight="1">
      <c r="A49" s="301" t="s">
        <v>173</v>
      </c>
      <c r="B49" s="39"/>
      <c r="C49" s="299"/>
      <c r="F49" s="280"/>
    </row>
    <row r="50" spans="1:6" ht="17.25" customHeight="1">
      <c r="A50" s="303" t="s">
        <v>175</v>
      </c>
      <c r="B50" s="34"/>
      <c r="C50" s="299"/>
      <c r="F50" s="280"/>
    </row>
    <row r="51" spans="1:6" ht="20.100000000000001" customHeight="1">
      <c r="A51" s="301" t="s">
        <v>223</v>
      </c>
      <c r="B51" s="39"/>
      <c r="C51" s="299"/>
      <c r="F51" s="280"/>
    </row>
    <row r="52" spans="1:6" ht="20.100000000000001" customHeight="1">
      <c r="A52" s="301" t="s">
        <v>310</v>
      </c>
      <c r="B52" s="39"/>
      <c r="C52" s="299"/>
      <c r="F52" s="280"/>
    </row>
    <row r="53" spans="1:6" ht="20.100000000000001" customHeight="1">
      <c r="A53" s="301" t="s">
        <v>398</v>
      </c>
      <c r="B53" s="39"/>
      <c r="C53" s="299"/>
      <c r="F53" s="280"/>
    </row>
    <row r="54" spans="1:6" ht="20.100000000000001" customHeight="1">
      <c r="A54" s="301" t="s">
        <v>401</v>
      </c>
      <c r="B54" s="39"/>
      <c r="C54" s="299"/>
      <c r="F54" s="280"/>
    </row>
    <row r="55" spans="1:6" ht="20.100000000000001" customHeight="1">
      <c r="A55" s="301" t="s">
        <v>402</v>
      </c>
      <c r="B55" s="39"/>
      <c r="C55" s="299"/>
      <c r="F55" s="280"/>
    </row>
    <row r="56" spans="1:6" ht="20.100000000000001" customHeight="1">
      <c r="A56" s="301" t="s">
        <v>421</v>
      </c>
      <c r="B56" s="39"/>
      <c r="C56" s="299"/>
      <c r="F56" s="280"/>
    </row>
    <row r="57" spans="1:6" ht="20.100000000000001" customHeight="1">
      <c r="A57" s="301" t="s">
        <v>420</v>
      </c>
      <c r="B57" s="39"/>
      <c r="C57" s="299"/>
      <c r="F57" s="280"/>
    </row>
    <row r="58" spans="1:6" ht="20.100000000000001" customHeight="1">
      <c r="A58" s="301" t="s">
        <v>418</v>
      </c>
      <c r="B58" s="39"/>
      <c r="C58" s="304"/>
      <c r="F58" s="280"/>
    </row>
    <row r="59" spans="1:6" ht="20.100000000000001" customHeight="1">
      <c r="A59" s="301" t="s">
        <v>419</v>
      </c>
      <c r="B59" s="39"/>
      <c r="C59" s="304"/>
      <c r="F59" s="280"/>
    </row>
    <row r="60" spans="1:6" ht="20.100000000000001" customHeight="1">
      <c r="A60" s="301" t="s">
        <v>309</v>
      </c>
      <c r="B60" s="39"/>
      <c r="C60" s="304" t="s">
        <v>387</v>
      </c>
      <c r="F60" s="280"/>
    </row>
    <row r="61" spans="1:6" ht="20.100000000000001" customHeight="1">
      <c r="A61" s="301" t="s">
        <v>380</v>
      </c>
      <c r="B61" s="48"/>
      <c r="C61" s="304" t="s">
        <v>387</v>
      </c>
      <c r="F61" s="280"/>
    </row>
    <row r="62" spans="1:6" ht="20.100000000000001" customHeight="1">
      <c r="A62" s="301" t="s">
        <v>381</v>
      </c>
      <c r="B62" s="39"/>
      <c r="C62" s="304" t="s">
        <v>387</v>
      </c>
      <c r="F62" s="280"/>
    </row>
    <row r="63" spans="1:6" ht="20.100000000000001" customHeight="1">
      <c r="A63" s="301" t="s">
        <v>382</v>
      </c>
      <c r="B63" s="39"/>
      <c r="C63" s="304" t="s">
        <v>387</v>
      </c>
      <c r="F63" s="280"/>
    </row>
    <row r="64" spans="1:6" ht="20.100000000000001" customHeight="1">
      <c r="A64" s="301" t="s">
        <v>235</v>
      </c>
      <c r="B64" s="39"/>
      <c r="C64" s="304" t="s">
        <v>387</v>
      </c>
      <c r="F64" s="280"/>
    </row>
    <row r="65" spans="1:6" ht="20.100000000000001" customHeight="1">
      <c r="A65" s="301" t="s">
        <v>236</v>
      </c>
      <c r="B65" s="39"/>
      <c r="C65" s="304" t="s">
        <v>387</v>
      </c>
      <c r="F65" s="280"/>
    </row>
    <row r="66" spans="1:6" ht="20.100000000000001" customHeight="1">
      <c r="A66" s="301" t="s">
        <v>237</v>
      </c>
      <c r="B66" s="39"/>
      <c r="C66" s="304" t="s">
        <v>387</v>
      </c>
      <c r="F66" s="280"/>
    </row>
    <row r="67" spans="1:6" ht="20.100000000000001" customHeight="1">
      <c r="A67" s="301" t="s">
        <v>238</v>
      </c>
      <c r="B67" s="39"/>
      <c r="C67" s="304" t="s">
        <v>387</v>
      </c>
      <c r="F67" s="280"/>
    </row>
    <row r="68" spans="1:6" ht="20.100000000000001" customHeight="1">
      <c r="A68" s="301" t="s">
        <v>239</v>
      </c>
      <c r="B68" s="39"/>
      <c r="C68" s="304" t="s">
        <v>387</v>
      </c>
      <c r="F68" s="280"/>
    </row>
    <row r="69" spans="1:6" ht="20.100000000000001" customHeight="1">
      <c r="A69" s="301" t="s">
        <v>240</v>
      </c>
      <c r="B69" s="39"/>
      <c r="C69" s="304" t="s">
        <v>387</v>
      </c>
      <c r="F69" s="280"/>
    </row>
    <row r="70" spans="1:6" ht="20.100000000000001" customHeight="1">
      <c r="A70" s="301" t="s">
        <v>241</v>
      </c>
      <c r="B70" s="39"/>
      <c r="C70" s="304" t="s">
        <v>387</v>
      </c>
      <c r="F70" s="280"/>
    </row>
    <row r="71" spans="1:6" ht="20.100000000000001" customHeight="1">
      <c r="A71" s="301" t="s">
        <v>242</v>
      </c>
      <c r="B71" s="39"/>
      <c r="C71" s="304" t="s">
        <v>387</v>
      </c>
      <c r="F71" s="280"/>
    </row>
    <row r="72" spans="1:6" ht="20.100000000000001" customHeight="1" thickBot="1">
      <c r="A72" s="305" t="s">
        <v>243</v>
      </c>
      <c r="B72" s="306"/>
      <c r="C72" s="307" t="s">
        <v>387</v>
      </c>
      <c r="F72" s="280"/>
    </row>
  </sheetData>
  <mergeCells count="4">
    <mergeCell ref="B1:C1"/>
    <mergeCell ref="B2:C2"/>
    <mergeCell ref="B3:C3"/>
    <mergeCell ref="A6:C6"/>
  </mergeCells>
  <printOptions horizontalCentered="1"/>
  <pageMargins left="0" right="0" top="0" bottom="0" header="0" footer="0"/>
  <pageSetup paperSize="9" scale="60" orientation="portrait" blackAndWhite="1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7300B3-5459-4CB5-83AA-0A4B83965F07}">
          <x14:formula1>
            <xm:f>BD!$A$2:$A$4</xm:f>
          </x14:formula1>
          <xm:sqref>B3:C3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4E651-4FBB-46C7-8B38-5A3785590A97}">
  <sheetPr codeName="Лист1">
    <pageSetUpPr fitToPage="1"/>
  </sheetPr>
  <dimension ref="A1:G69"/>
  <sheetViews>
    <sheetView view="pageBreakPreview" zoomScale="40" zoomScaleNormal="40" zoomScaleSheetLayoutView="40" workbookViewId="0">
      <selection activeCell="B5" sqref="B5"/>
    </sheetView>
  </sheetViews>
  <sheetFormatPr defaultRowHeight="15"/>
  <cols>
    <col min="1" max="1" width="199.140625" bestFit="1" customWidth="1"/>
    <col min="2" max="2" width="77.7109375" bestFit="1" customWidth="1"/>
    <col min="3" max="3" width="10.7109375" bestFit="1" customWidth="1"/>
    <col min="7" max="7" width="9.140625" hidden="1" customWidth="1"/>
    <col min="234" max="234" width="6.140625" bestFit="1" customWidth="1"/>
    <col min="235" max="235" width="35.7109375" customWidth="1"/>
    <col min="236" max="236" width="4.85546875" bestFit="1" customWidth="1"/>
    <col min="237" max="237" width="7.7109375" customWidth="1"/>
    <col min="490" max="490" width="6.140625" bestFit="1" customWidth="1"/>
    <col min="491" max="491" width="35.7109375" customWidth="1"/>
    <col min="492" max="492" width="4.85546875" bestFit="1" customWidth="1"/>
    <col min="493" max="493" width="7.7109375" customWidth="1"/>
    <col min="746" max="746" width="6.140625" bestFit="1" customWidth="1"/>
    <col min="747" max="747" width="35.7109375" customWidth="1"/>
    <col min="748" max="748" width="4.85546875" bestFit="1" customWidth="1"/>
    <col min="749" max="749" width="7.7109375" customWidth="1"/>
    <col min="1002" max="1002" width="6.140625" bestFit="1" customWidth="1"/>
    <col min="1003" max="1003" width="35.7109375" customWidth="1"/>
    <col min="1004" max="1004" width="4.85546875" bestFit="1" customWidth="1"/>
    <col min="1005" max="1005" width="7.7109375" customWidth="1"/>
    <col min="1258" max="1258" width="6.140625" bestFit="1" customWidth="1"/>
    <col min="1259" max="1259" width="35.7109375" customWidth="1"/>
    <col min="1260" max="1260" width="4.85546875" bestFit="1" customWidth="1"/>
    <col min="1261" max="1261" width="7.7109375" customWidth="1"/>
    <col min="1514" max="1514" width="6.140625" bestFit="1" customWidth="1"/>
    <col min="1515" max="1515" width="35.7109375" customWidth="1"/>
    <col min="1516" max="1516" width="4.85546875" bestFit="1" customWidth="1"/>
    <col min="1517" max="1517" width="7.7109375" customWidth="1"/>
    <col min="1770" max="1770" width="6.140625" bestFit="1" customWidth="1"/>
    <col min="1771" max="1771" width="35.7109375" customWidth="1"/>
    <col min="1772" max="1772" width="4.85546875" bestFit="1" customWidth="1"/>
    <col min="1773" max="1773" width="7.7109375" customWidth="1"/>
    <col min="2026" max="2026" width="6.140625" bestFit="1" customWidth="1"/>
    <col min="2027" max="2027" width="35.7109375" customWidth="1"/>
    <col min="2028" max="2028" width="4.85546875" bestFit="1" customWidth="1"/>
    <col min="2029" max="2029" width="7.7109375" customWidth="1"/>
    <col min="2282" max="2282" width="6.140625" bestFit="1" customWidth="1"/>
    <col min="2283" max="2283" width="35.7109375" customWidth="1"/>
    <col min="2284" max="2284" width="4.85546875" bestFit="1" customWidth="1"/>
    <col min="2285" max="2285" width="7.7109375" customWidth="1"/>
    <col min="2538" max="2538" width="6.140625" bestFit="1" customWidth="1"/>
    <col min="2539" max="2539" width="35.7109375" customWidth="1"/>
    <col min="2540" max="2540" width="4.85546875" bestFit="1" customWidth="1"/>
    <col min="2541" max="2541" width="7.7109375" customWidth="1"/>
    <col min="2794" max="2794" width="6.140625" bestFit="1" customWidth="1"/>
    <col min="2795" max="2795" width="35.7109375" customWidth="1"/>
    <col min="2796" max="2796" width="4.85546875" bestFit="1" customWidth="1"/>
    <col min="2797" max="2797" width="7.7109375" customWidth="1"/>
    <col min="3050" max="3050" width="6.140625" bestFit="1" customWidth="1"/>
    <col min="3051" max="3051" width="35.7109375" customWidth="1"/>
    <col min="3052" max="3052" width="4.85546875" bestFit="1" customWidth="1"/>
    <col min="3053" max="3053" width="7.7109375" customWidth="1"/>
    <col min="3306" max="3306" width="6.140625" bestFit="1" customWidth="1"/>
    <col min="3307" max="3307" width="35.7109375" customWidth="1"/>
    <col min="3308" max="3308" width="4.85546875" bestFit="1" customWidth="1"/>
    <col min="3309" max="3309" width="7.7109375" customWidth="1"/>
    <col min="3562" max="3562" width="6.140625" bestFit="1" customWidth="1"/>
    <col min="3563" max="3563" width="35.7109375" customWidth="1"/>
    <col min="3564" max="3564" width="4.85546875" bestFit="1" customWidth="1"/>
    <col min="3565" max="3565" width="7.7109375" customWidth="1"/>
    <col min="3818" max="3818" width="6.140625" bestFit="1" customWidth="1"/>
    <col min="3819" max="3819" width="35.7109375" customWidth="1"/>
    <col min="3820" max="3820" width="4.85546875" bestFit="1" customWidth="1"/>
    <col min="3821" max="3821" width="7.7109375" customWidth="1"/>
    <col min="4074" max="4074" width="6.140625" bestFit="1" customWidth="1"/>
    <col min="4075" max="4075" width="35.7109375" customWidth="1"/>
    <col min="4076" max="4076" width="4.85546875" bestFit="1" customWidth="1"/>
    <col min="4077" max="4077" width="7.7109375" customWidth="1"/>
    <col min="4330" max="4330" width="6.140625" bestFit="1" customWidth="1"/>
    <col min="4331" max="4331" width="35.7109375" customWidth="1"/>
    <col min="4332" max="4332" width="4.85546875" bestFit="1" customWidth="1"/>
    <col min="4333" max="4333" width="7.7109375" customWidth="1"/>
    <col min="4586" max="4586" width="6.140625" bestFit="1" customWidth="1"/>
    <col min="4587" max="4587" width="35.7109375" customWidth="1"/>
    <col min="4588" max="4588" width="4.85546875" bestFit="1" customWidth="1"/>
    <col min="4589" max="4589" width="7.7109375" customWidth="1"/>
    <col min="4842" max="4842" width="6.140625" bestFit="1" customWidth="1"/>
    <col min="4843" max="4843" width="35.7109375" customWidth="1"/>
    <col min="4844" max="4844" width="4.85546875" bestFit="1" customWidth="1"/>
    <col min="4845" max="4845" width="7.7109375" customWidth="1"/>
    <col min="5098" max="5098" width="6.140625" bestFit="1" customWidth="1"/>
    <col min="5099" max="5099" width="35.7109375" customWidth="1"/>
    <col min="5100" max="5100" width="4.85546875" bestFit="1" customWidth="1"/>
    <col min="5101" max="5101" width="7.7109375" customWidth="1"/>
    <col min="5354" max="5354" width="6.140625" bestFit="1" customWidth="1"/>
    <col min="5355" max="5355" width="35.7109375" customWidth="1"/>
    <col min="5356" max="5356" width="4.85546875" bestFit="1" customWidth="1"/>
    <col min="5357" max="5357" width="7.7109375" customWidth="1"/>
    <col min="5610" max="5610" width="6.140625" bestFit="1" customWidth="1"/>
    <col min="5611" max="5611" width="35.7109375" customWidth="1"/>
    <col min="5612" max="5612" width="4.85546875" bestFit="1" customWidth="1"/>
    <col min="5613" max="5613" width="7.7109375" customWidth="1"/>
    <col min="5866" max="5866" width="6.140625" bestFit="1" customWidth="1"/>
    <col min="5867" max="5867" width="35.7109375" customWidth="1"/>
    <col min="5868" max="5868" width="4.85546875" bestFit="1" customWidth="1"/>
    <col min="5869" max="5869" width="7.7109375" customWidth="1"/>
    <col min="6122" max="6122" width="6.140625" bestFit="1" customWidth="1"/>
    <col min="6123" max="6123" width="35.7109375" customWidth="1"/>
    <col min="6124" max="6124" width="4.85546875" bestFit="1" customWidth="1"/>
    <col min="6125" max="6125" width="7.7109375" customWidth="1"/>
    <col min="6378" max="6378" width="6.140625" bestFit="1" customWidth="1"/>
    <col min="6379" max="6379" width="35.7109375" customWidth="1"/>
    <col min="6380" max="6380" width="4.85546875" bestFit="1" customWidth="1"/>
    <col min="6381" max="6381" width="7.7109375" customWidth="1"/>
    <col min="6634" max="6634" width="6.140625" bestFit="1" customWidth="1"/>
    <col min="6635" max="6635" width="35.7109375" customWidth="1"/>
    <col min="6636" max="6636" width="4.85546875" bestFit="1" customWidth="1"/>
    <col min="6637" max="6637" width="7.7109375" customWidth="1"/>
    <col min="6890" max="6890" width="6.140625" bestFit="1" customWidth="1"/>
    <col min="6891" max="6891" width="35.7109375" customWidth="1"/>
    <col min="6892" max="6892" width="4.85546875" bestFit="1" customWidth="1"/>
    <col min="6893" max="6893" width="7.7109375" customWidth="1"/>
    <col min="7146" max="7146" width="6.140625" bestFit="1" customWidth="1"/>
    <col min="7147" max="7147" width="35.7109375" customWidth="1"/>
    <col min="7148" max="7148" width="4.85546875" bestFit="1" customWidth="1"/>
    <col min="7149" max="7149" width="7.7109375" customWidth="1"/>
    <col min="7402" max="7402" width="6.140625" bestFit="1" customWidth="1"/>
    <col min="7403" max="7403" width="35.7109375" customWidth="1"/>
    <col min="7404" max="7404" width="4.85546875" bestFit="1" customWidth="1"/>
    <col min="7405" max="7405" width="7.7109375" customWidth="1"/>
    <col min="7658" max="7658" width="6.140625" bestFit="1" customWidth="1"/>
    <col min="7659" max="7659" width="35.7109375" customWidth="1"/>
    <col min="7660" max="7660" width="4.85546875" bestFit="1" customWidth="1"/>
    <col min="7661" max="7661" width="7.7109375" customWidth="1"/>
    <col min="7914" max="7914" width="6.140625" bestFit="1" customWidth="1"/>
    <col min="7915" max="7915" width="35.7109375" customWidth="1"/>
    <col min="7916" max="7916" width="4.85546875" bestFit="1" customWidth="1"/>
    <col min="7917" max="7917" width="7.7109375" customWidth="1"/>
    <col min="8170" max="8170" width="6.140625" bestFit="1" customWidth="1"/>
    <col min="8171" max="8171" width="35.7109375" customWidth="1"/>
    <col min="8172" max="8172" width="4.85546875" bestFit="1" customWidth="1"/>
    <col min="8173" max="8173" width="7.7109375" customWidth="1"/>
    <col min="8426" max="8426" width="6.140625" bestFit="1" customWidth="1"/>
    <col min="8427" max="8427" width="35.7109375" customWidth="1"/>
    <col min="8428" max="8428" width="4.85546875" bestFit="1" customWidth="1"/>
    <col min="8429" max="8429" width="7.7109375" customWidth="1"/>
    <col min="8682" max="8682" width="6.140625" bestFit="1" customWidth="1"/>
    <col min="8683" max="8683" width="35.7109375" customWidth="1"/>
    <col min="8684" max="8684" width="4.85546875" bestFit="1" customWidth="1"/>
    <col min="8685" max="8685" width="7.7109375" customWidth="1"/>
    <col min="8938" max="8938" width="6.140625" bestFit="1" customWidth="1"/>
    <col min="8939" max="8939" width="35.7109375" customWidth="1"/>
    <col min="8940" max="8940" width="4.85546875" bestFit="1" customWidth="1"/>
    <col min="8941" max="8941" width="7.7109375" customWidth="1"/>
    <col min="9194" max="9194" width="6.140625" bestFit="1" customWidth="1"/>
    <col min="9195" max="9195" width="35.7109375" customWidth="1"/>
    <col min="9196" max="9196" width="4.85546875" bestFit="1" customWidth="1"/>
    <col min="9197" max="9197" width="7.7109375" customWidth="1"/>
    <col min="9450" max="9450" width="6.140625" bestFit="1" customWidth="1"/>
    <col min="9451" max="9451" width="35.7109375" customWidth="1"/>
    <col min="9452" max="9452" width="4.85546875" bestFit="1" customWidth="1"/>
    <col min="9453" max="9453" width="7.7109375" customWidth="1"/>
    <col min="9706" max="9706" width="6.140625" bestFit="1" customWidth="1"/>
    <col min="9707" max="9707" width="35.7109375" customWidth="1"/>
    <col min="9708" max="9708" width="4.85546875" bestFit="1" customWidth="1"/>
    <col min="9709" max="9709" width="7.7109375" customWidth="1"/>
    <col min="9962" max="9962" width="6.140625" bestFit="1" customWidth="1"/>
    <col min="9963" max="9963" width="35.7109375" customWidth="1"/>
    <col min="9964" max="9964" width="4.85546875" bestFit="1" customWidth="1"/>
    <col min="9965" max="9965" width="7.7109375" customWidth="1"/>
    <col min="10218" max="10218" width="6.140625" bestFit="1" customWidth="1"/>
    <col min="10219" max="10219" width="35.7109375" customWidth="1"/>
    <col min="10220" max="10220" width="4.85546875" bestFit="1" customWidth="1"/>
    <col min="10221" max="10221" width="7.7109375" customWidth="1"/>
    <col min="10474" max="10474" width="6.140625" bestFit="1" customWidth="1"/>
    <col min="10475" max="10475" width="35.7109375" customWidth="1"/>
    <col min="10476" max="10476" width="4.85546875" bestFit="1" customWidth="1"/>
    <col min="10477" max="10477" width="7.7109375" customWidth="1"/>
    <col min="10730" max="10730" width="6.140625" bestFit="1" customWidth="1"/>
    <col min="10731" max="10731" width="35.7109375" customWidth="1"/>
    <col min="10732" max="10732" width="4.85546875" bestFit="1" customWidth="1"/>
    <col min="10733" max="10733" width="7.7109375" customWidth="1"/>
    <col min="10986" max="10986" width="6.140625" bestFit="1" customWidth="1"/>
    <col min="10987" max="10987" width="35.7109375" customWidth="1"/>
    <col min="10988" max="10988" width="4.85546875" bestFit="1" customWidth="1"/>
    <col min="10989" max="10989" width="7.7109375" customWidth="1"/>
    <col min="11242" max="11242" width="6.140625" bestFit="1" customWidth="1"/>
    <col min="11243" max="11243" width="35.7109375" customWidth="1"/>
    <col min="11244" max="11244" width="4.85546875" bestFit="1" customWidth="1"/>
    <col min="11245" max="11245" width="7.7109375" customWidth="1"/>
    <col min="11498" max="11498" width="6.140625" bestFit="1" customWidth="1"/>
    <col min="11499" max="11499" width="35.7109375" customWidth="1"/>
    <col min="11500" max="11500" width="4.85546875" bestFit="1" customWidth="1"/>
    <col min="11501" max="11501" width="7.7109375" customWidth="1"/>
    <col min="11754" max="11754" width="6.140625" bestFit="1" customWidth="1"/>
    <col min="11755" max="11755" width="35.7109375" customWidth="1"/>
    <col min="11756" max="11756" width="4.85546875" bestFit="1" customWidth="1"/>
    <col min="11757" max="11757" width="7.7109375" customWidth="1"/>
    <col min="12010" max="12010" width="6.140625" bestFit="1" customWidth="1"/>
    <col min="12011" max="12011" width="35.7109375" customWidth="1"/>
    <col min="12012" max="12012" width="4.85546875" bestFit="1" customWidth="1"/>
    <col min="12013" max="12013" width="7.7109375" customWidth="1"/>
    <col min="12266" max="12266" width="6.140625" bestFit="1" customWidth="1"/>
    <col min="12267" max="12267" width="35.7109375" customWidth="1"/>
    <col min="12268" max="12268" width="4.85546875" bestFit="1" customWidth="1"/>
    <col min="12269" max="12269" width="7.7109375" customWidth="1"/>
    <col min="12522" max="12522" width="6.140625" bestFit="1" customWidth="1"/>
    <col min="12523" max="12523" width="35.7109375" customWidth="1"/>
    <col min="12524" max="12524" width="4.85546875" bestFit="1" customWidth="1"/>
    <col min="12525" max="12525" width="7.7109375" customWidth="1"/>
    <col min="12778" max="12778" width="6.140625" bestFit="1" customWidth="1"/>
    <col min="12779" max="12779" width="35.7109375" customWidth="1"/>
    <col min="12780" max="12780" width="4.85546875" bestFit="1" customWidth="1"/>
    <col min="12781" max="12781" width="7.7109375" customWidth="1"/>
    <col min="13034" max="13034" width="6.140625" bestFit="1" customWidth="1"/>
    <col min="13035" max="13035" width="35.7109375" customWidth="1"/>
    <col min="13036" max="13036" width="4.85546875" bestFit="1" customWidth="1"/>
    <col min="13037" max="13037" width="7.7109375" customWidth="1"/>
    <col min="13290" max="13290" width="6.140625" bestFit="1" customWidth="1"/>
    <col min="13291" max="13291" width="35.7109375" customWidth="1"/>
    <col min="13292" max="13292" width="4.85546875" bestFit="1" customWidth="1"/>
    <col min="13293" max="13293" width="7.7109375" customWidth="1"/>
    <col min="13546" max="13546" width="6.140625" bestFit="1" customWidth="1"/>
    <col min="13547" max="13547" width="35.7109375" customWidth="1"/>
    <col min="13548" max="13548" width="4.85546875" bestFit="1" customWidth="1"/>
    <col min="13549" max="13549" width="7.7109375" customWidth="1"/>
    <col min="13802" max="13802" width="6.140625" bestFit="1" customWidth="1"/>
    <col min="13803" max="13803" width="35.7109375" customWidth="1"/>
    <col min="13804" max="13804" width="4.85546875" bestFit="1" customWidth="1"/>
    <col min="13805" max="13805" width="7.7109375" customWidth="1"/>
    <col min="14058" max="14058" width="6.140625" bestFit="1" customWidth="1"/>
    <col min="14059" max="14059" width="35.7109375" customWidth="1"/>
    <col min="14060" max="14060" width="4.85546875" bestFit="1" customWidth="1"/>
    <col min="14061" max="14061" width="7.7109375" customWidth="1"/>
    <col min="14314" max="14314" width="6.140625" bestFit="1" customWidth="1"/>
    <col min="14315" max="14315" width="35.7109375" customWidth="1"/>
    <col min="14316" max="14316" width="4.85546875" bestFit="1" customWidth="1"/>
    <col min="14317" max="14317" width="7.7109375" customWidth="1"/>
    <col min="14570" max="14570" width="6.140625" bestFit="1" customWidth="1"/>
    <col min="14571" max="14571" width="35.7109375" customWidth="1"/>
    <col min="14572" max="14572" width="4.85546875" bestFit="1" customWidth="1"/>
    <col min="14573" max="14573" width="7.7109375" customWidth="1"/>
    <col min="14826" max="14826" width="6.140625" bestFit="1" customWidth="1"/>
    <col min="14827" max="14827" width="35.7109375" customWidth="1"/>
    <col min="14828" max="14828" width="4.85546875" bestFit="1" customWidth="1"/>
    <col min="14829" max="14829" width="7.7109375" customWidth="1"/>
    <col min="15082" max="15082" width="6.140625" bestFit="1" customWidth="1"/>
    <col min="15083" max="15083" width="35.7109375" customWidth="1"/>
    <col min="15084" max="15084" width="4.85546875" bestFit="1" customWidth="1"/>
    <col min="15085" max="15085" width="7.7109375" customWidth="1"/>
    <col min="15338" max="15338" width="6.140625" bestFit="1" customWidth="1"/>
    <col min="15339" max="15339" width="35.7109375" customWidth="1"/>
    <col min="15340" max="15340" width="4.85546875" bestFit="1" customWidth="1"/>
    <col min="15341" max="15341" width="7.7109375" customWidth="1"/>
    <col min="15594" max="15594" width="6.140625" bestFit="1" customWidth="1"/>
    <col min="15595" max="15595" width="35.7109375" customWidth="1"/>
    <col min="15596" max="15596" width="4.85546875" bestFit="1" customWidth="1"/>
    <col min="15597" max="15597" width="7.7109375" customWidth="1"/>
    <col min="15850" max="15850" width="6.140625" bestFit="1" customWidth="1"/>
    <col min="15851" max="15851" width="35.7109375" customWidth="1"/>
    <col min="15852" max="15852" width="4.85546875" bestFit="1" customWidth="1"/>
    <col min="15853" max="15853" width="7.7109375" customWidth="1"/>
    <col min="16106" max="16106" width="6.140625" bestFit="1" customWidth="1"/>
    <col min="16107" max="16107" width="35.7109375" customWidth="1"/>
    <col min="16108" max="16108" width="4.85546875" bestFit="1" customWidth="1"/>
    <col min="16109" max="16109" width="7.7109375" customWidth="1"/>
  </cols>
  <sheetData>
    <row r="1" spans="1:7" ht="58.5" customHeight="1" thickBot="1">
      <c r="A1" s="343"/>
      <c r="B1" s="344"/>
      <c r="F1" s="281" t="s">
        <v>414</v>
      </c>
    </row>
    <row r="2" spans="1:7" ht="49.5" customHeight="1">
      <c r="A2" s="252">
        <f ca="1">'Тека ГП'!$C$4</f>
        <v>46211</v>
      </c>
      <c r="B2" s="345" t="s">
        <v>396</v>
      </c>
    </row>
    <row r="3" spans="1:7" ht="33" customHeight="1" thickBot="1">
      <c r="A3" s="253"/>
      <c r="B3" s="346"/>
    </row>
    <row r="4" spans="1:7" ht="40.5" customHeight="1" thickBot="1">
      <c r="A4" s="80" t="s">
        <v>248</v>
      </c>
      <c r="B4" s="347"/>
    </row>
    <row r="5" spans="1:7" ht="50.1" customHeight="1" thickBot="1">
      <c r="A5" s="81" t="s">
        <v>103</v>
      </c>
      <c r="B5" s="82" t="str">
        <f>IF('Тека ГП'!B8="","",TEXT('Тека ГП'!B8, "ДДММ"))</f>
        <v/>
      </c>
      <c r="G5" t="str">
        <f ca="1">TEXT($A$2,"ДДММ")</f>
        <v>0807</v>
      </c>
    </row>
    <row r="6" spans="1:7" ht="50.1" customHeight="1" thickBot="1">
      <c r="A6" s="83" t="s">
        <v>106</v>
      </c>
      <c r="B6" s="82" t="str">
        <f>IF('Тека ГП'!B9="","",TEXT('Тека ГП'!B9, "ДДММ"))</f>
        <v/>
      </c>
      <c r="F6" s="280"/>
    </row>
    <row r="7" spans="1:7" s="77" customFormat="1" ht="50.1" customHeight="1" thickBot="1">
      <c r="A7" s="84" t="s">
        <v>117</v>
      </c>
      <c r="B7" s="82" t="str">
        <f>IF('Тека ГП'!B10="","",TEXT('Тека ГП'!B10, "ДДММ"))</f>
        <v/>
      </c>
      <c r="F7" s="284"/>
    </row>
    <row r="8" spans="1:7" s="77" customFormat="1" ht="50.1" customHeight="1" thickBot="1">
      <c r="A8" s="85" t="s">
        <v>234</v>
      </c>
      <c r="B8" s="82" t="str">
        <f>IF('Тека ГП'!B11="","",TEXT('Тека ГП'!B11, "ДДММ"))</f>
        <v/>
      </c>
      <c r="F8" s="284"/>
    </row>
    <row r="9" spans="1:7" s="77" customFormat="1" ht="50.1" customHeight="1" thickBot="1">
      <c r="A9" s="86" t="s">
        <v>388</v>
      </c>
      <c r="B9" s="82" t="str">
        <f>IF('Тека ГП'!B12="","",TEXT('Тека ГП'!B12, "ДДММ"))</f>
        <v/>
      </c>
      <c r="F9" s="284"/>
    </row>
    <row r="10" spans="1:7" s="77" customFormat="1" ht="50.1" customHeight="1" thickBot="1">
      <c r="A10" s="86" t="s">
        <v>123</v>
      </c>
      <c r="B10" s="82" t="str">
        <f>IF('Тека ГП'!B13="","",TEXT('Тека ГП'!B13, "ДДММ"))</f>
        <v/>
      </c>
      <c r="F10" s="284"/>
    </row>
    <row r="11" spans="1:7" s="77" customFormat="1" ht="50.1" customHeight="1" thickBot="1">
      <c r="A11" s="86" t="s">
        <v>124</v>
      </c>
      <c r="B11" s="82" t="str">
        <f>IF('Тека ГП'!B14="","",TEXT('Тека ГП'!B14, "ДДММ"))</f>
        <v/>
      </c>
      <c r="F11" s="284"/>
    </row>
    <row r="12" spans="1:7" s="77" customFormat="1" ht="50.1" customHeight="1" thickBot="1">
      <c r="A12" s="86" t="s">
        <v>210</v>
      </c>
      <c r="B12" s="82" t="str">
        <f>IF('Тека ГП'!B15="","",TEXT('Тека ГП'!B15, "ДДММ"))</f>
        <v/>
      </c>
      <c r="F12" s="284"/>
    </row>
    <row r="13" spans="1:7" s="77" customFormat="1" ht="50.1" customHeight="1" thickBot="1">
      <c r="A13" s="86" t="s">
        <v>209</v>
      </c>
      <c r="B13" s="82" t="str">
        <f>IF('Тека ГП'!B16="","",TEXT('Тека ГП'!B16, "ДДММ"))</f>
        <v/>
      </c>
      <c r="F13" s="284"/>
    </row>
    <row r="14" spans="1:7" s="77" customFormat="1" ht="50.1" customHeight="1" thickBot="1">
      <c r="A14" s="86" t="s">
        <v>127</v>
      </c>
      <c r="B14" s="82" t="str">
        <f>IF('Тека ГП'!B17="","",TEXT('Тека ГП'!B17, "ДДММ"))</f>
        <v/>
      </c>
      <c r="F14" s="284"/>
    </row>
    <row r="15" spans="1:7" s="77" customFormat="1" ht="50.1" customHeight="1" thickBot="1">
      <c r="A15" s="86" t="s">
        <v>128</v>
      </c>
      <c r="B15" s="82" t="str">
        <f>IF('Тека ГП'!B18="","",TEXT('Тека ГП'!B18, "ДДММ"))</f>
        <v/>
      </c>
      <c r="F15" s="284"/>
    </row>
    <row r="16" spans="1:7" s="77" customFormat="1" ht="50.1" customHeight="1" thickBot="1">
      <c r="A16" s="86" t="s">
        <v>308</v>
      </c>
      <c r="B16" s="82" t="str">
        <f>IF('Тека ГП'!B19="","",TEXT('Тека ГП'!B19, "ДДММ"))</f>
        <v/>
      </c>
      <c r="F16" s="284"/>
    </row>
    <row r="17" spans="1:6" s="77" customFormat="1" ht="50.1" customHeight="1" thickBot="1">
      <c r="A17" s="86" t="s">
        <v>129</v>
      </c>
      <c r="B17" s="82" t="str">
        <f>IF('Тека ГП'!B20="","",TEXT('Тека ГП'!B20, "ДДММ"))</f>
        <v/>
      </c>
      <c r="F17" s="284"/>
    </row>
    <row r="18" spans="1:6" s="77" customFormat="1" ht="50.1" customHeight="1" thickBot="1">
      <c r="A18" s="86" t="s">
        <v>176</v>
      </c>
      <c r="B18" s="82" t="str">
        <f>IF('Тека ГП'!B21="","",TEXT('Тека ГП'!B21, "ДДММ"))</f>
        <v/>
      </c>
      <c r="F18" s="284"/>
    </row>
    <row r="19" spans="1:6" s="77" customFormat="1" ht="50.1" customHeight="1" thickBot="1">
      <c r="A19" s="86" t="s">
        <v>130</v>
      </c>
      <c r="B19" s="82" t="str">
        <f>IF('Тека ГП'!B22="","",TEXT('Тека ГП'!B22, "ДДММ"))</f>
        <v/>
      </c>
      <c r="F19" s="284"/>
    </row>
    <row r="20" spans="1:6" s="77" customFormat="1" ht="50.1" customHeight="1" thickBot="1">
      <c r="A20" s="86" t="s">
        <v>179</v>
      </c>
      <c r="B20" s="82" t="str">
        <f>IF('Тека ГП'!B23="","",TEXT('Тека ГП'!B23, "ДДММ"))</f>
        <v/>
      </c>
      <c r="F20" s="284"/>
    </row>
    <row r="21" spans="1:6" s="77" customFormat="1" ht="50.1" customHeight="1" thickBot="1">
      <c r="A21" s="86" t="s">
        <v>131</v>
      </c>
      <c r="B21" s="82" t="str">
        <f>IF('Тека ГП'!B24="","",TEXT('Тека ГП'!B24, "ДДММ"))</f>
        <v/>
      </c>
      <c r="F21" s="284"/>
    </row>
    <row r="22" spans="1:6" s="77" customFormat="1" ht="50.1" customHeight="1" thickBot="1">
      <c r="A22" s="86" t="s">
        <v>180</v>
      </c>
      <c r="B22" s="82" t="str">
        <f>IF('Тека ГП'!B25="","",TEXT('Тека ГП'!B25, "ДДММ"))</f>
        <v/>
      </c>
      <c r="F22" s="284"/>
    </row>
    <row r="23" spans="1:6" s="77" customFormat="1" ht="50.1" customHeight="1" thickBot="1">
      <c r="A23" s="86" t="s">
        <v>181</v>
      </c>
      <c r="B23" s="82" t="str">
        <f>IF('Тека ГП'!B26="","",TEXT('Тека ГП'!B26, "ДДММ"))</f>
        <v/>
      </c>
      <c r="F23" s="284"/>
    </row>
    <row r="24" spans="1:6" s="77" customFormat="1" ht="50.1" customHeight="1" thickBot="1">
      <c r="A24" s="86" t="s">
        <v>132</v>
      </c>
      <c r="B24" s="82" t="str">
        <f>IF('Тека ГП'!B27="","",TEXT('Тека ГП'!B27, "ДДММ"))</f>
        <v/>
      </c>
      <c r="F24" s="284"/>
    </row>
    <row r="25" spans="1:6" s="77" customFormat="1" ht="50.1" customHeight="1" thickBot="1">
      <c r="A25" s="86" t="s">
        <v>133</v>
      </c>
      <c r="B25" s="82" t="str">
        <f>IF('Тека ГП'!B28="","",TEXT('Тека ГП'!B28, "ДДММ"))</f>
        <v/>
      </c>
      <c r="F25" s="284"/>
    </row>
    <row r="26" spans="1:6" s="77" customFormat="1" ht="50.1" customHeight="1" thickBot="1">
      <c r="A26" s="86" t="s">
        <v>134</v>
      </c>
      <c r="B26" s="82" t="str">
        <f>IF('Тека ГП'!B29="","",TEXT('Тека ГП'!B29, "ДДММ"))</f>
        <v/>
      </c>
      <c r="F26" s="284"/>
    </row>
    <row r="27" spans="1:6" s="77" customFormat="1" ht="50.1" customHeight="1" thickBot="1">
      <c r="A27" s="86" t="s">
        <v>136</v>
      </c>
      <c r="B27" s="82" t="str">
        <f>IF('Тека ГП'!B30="","",TEXT('Тека ГП'!B30, "ДДММ"))</f>
        <v/>
      </c>
      <c r="F27" s="284"/>
    </row>
    <row r="28" spans="1:6" s="77" customFormat="1" ht="50.1" customHeight="1" thickBot="1">
      <c r="A28" s="86" t="s">
        <v>231</v>
      </c>
      <c r="B28" s="82" t="str">
        <f>IF('Тека ГП'!B31="","",TEXT('Тека ГП'!B31, "ДДММ"))</f>
        <v/>
      </c>
      <c r="F28" s="284"/>
    </row>
    <row r="29" spans="1:6" s="77" customFormat="1" ht="50.1" customHeight="1" thickBot="1">
      <c r="A29" s="86" t="s">
        <v>138</v>
      </c>
      <c r="B29" s="82" t="str">
        <f>IF('Тека ГП'!B32="","",TEXT('Тека ГП'!B32, "ДДММ"))</f>
        <v/>
      </c>
      <c r="F29" s="284"/>
    </row>
    <row r="30" spans="1:6" s="77" customFormat="1" ht="50.1" customHeight="1" thickBot="1">
      <c r="A30" s="86" t="s">
        <v>144</v>
      </c>
      <c r="B30" s="82" t="str">
        <f>IF('Тека ГП'!B33="","",TEXT('Тека ГП'!B33, "ДДММ"))</f>
        <v/>
      </c>
      <c r="F30" s="284"/>
    </row>
    <row r="31" spans="1:6" s="77" customFormat="1" ht="50.1" customHeight="1" thickBot="1">
      <c r="A31" s="86" t="s">
        <v>146</v>
      </c>
      <c r="B31" s="82" t="str">
        <f>IF('Тека ГП'!B34="","",TEXT('Тека ГП'!B34, "ДДММ"))</f>
        <v/>
      </c>
      <c r="F31" s="284"/>
    </row>
    <row r="32" spans="1:6" s="77" customFormat="1" ht="50.1" customHeight="1" thickBot="1">
      <c r="A32" s="86" t="s">
        <v>147</v>
      </c>
      <c r="B32" s="82" t="str">
        <f>IF('Тека ГП'!B35="","",TEXT('Тека ГП'!B35, "ДДММ"))</f>
        <v/>
      </c>
      <c r="F32" s="284"/>
    </row>
    <row r="33" spans="1:6" s="77" customFormat="1" ht="50.1" customHeight="1" thickBot="1">
      <c r="A33" s="86" t="s">
        <v>148</v>
      </c>
      <c r="B33" s="82" t="str">
        <f>IF('Тека ГП'!B36="","",TEXT('Тека ГП'!B36, "ДДММ"))</f>
        <v/>
      </c>
      <c r="F33" s="284"/>
    </row>
    <row r="34" spans="1:6" s="77" customFormat="1" ht="50.1" customHeight="1" thickBot="1">
      <c r="A34" s="86" t="s">
        <v>150</v>
      </c>
      <c r="B34" s="82" t="str">
        <f>IF('Тека ГП'!B37="","",TEXT('Тека ГП'!B37, "ДДММ"))</f>
        <v/>
      </c>
      <c r="F34" s="284"/>
    </row>
    <row r="35" spans="1:6" s="77" customFormat="1" ht="50.1" customHeight="1" thickBot="1">
      <c r="A35" s="86" t="s">
        <v>152</v>
      </c>
      <c r="B35" s="82" t="str">
        <f>IF('Тека ГП'!B38="","",TEXT('Тека ГП'!B38, "ДДММ"))</f>
        <v/>
      </c>
      <c r="F35" s="284"/>
    </row>
    <row r="36" spans="1:6" s="77" customFormat="1" ht="50.1" customHeight="1" thickBot="1">
      <c r="A36" s="86" t="s">
        <v>154</v>
      </c>
      <c r="B36" s="82" t="str">
        <f>IF('Тека ГП'!B39="","",TEXT('Тека ГП'!B39, "ДДММ"))</f>
        <v/>
      </c>
      <c r="F36" s="284"/>
    </row>
    <row r="37" spans="1:6" s="77" customFormat="1" ht="50.1" customHeight="1" thickBot="1">
      <c r="A37" s="86" t="s">
        <v>156</v>
      </c>
      <c r="B37" s="82" t="str">
        <f>IF('Тека ГП'!B40="","",TEXT('Тека ГП'!B40, "ДДММ"))</f>
        <v/>
      </c>
      <c r="F37" s="284"/>
    </row>
    <row r="38" spans="1:6" s="77" customFormat="1" ht="50.1" customHeight="1" thickBot="1">
      <c r="A38" s="86" t="s">
        <v>158</v>
      </c>
      <c r="B38" s="82" t="str">
        <f>IF('Тека ГП'!B41="","",TEXT('Тека ГП'!B41, "ДДММ"))</f>
        <v/>
      </c>
      <c r="F38" s="284"/>
    </row>
    <row r="39" spans="1:6" s="77" customFormat="1" ht="50.1" customHeight="1" thickBot="1">
      <c r="A39" s="86" t="s">
        <v>160</v>
      </c>
      <c r="B39" s="82" t="str">
        <f>IF('Тека ГП'!B42="","",TEXT('Тека ГП'!B42, "ДДММ"))</f>
        <v/>
      </c>
      <c r="F39" s="284"/>
    </row>
    <row r="40" spans="1:6" s="77" customFormat="1" ht="50.1" customHeight="1" thickBot="1">
      <c r="A40" s="86" t="s">
        <v>162</v>
      </c>
      <c r="B40" s="82" t="str">
        <f>IF('Тека ГП'!B43="","",TEXT('Тека ГП'!B43, "ДДММ"))</f>
        <v/>
      </c>
      <c r="F40" s="284"/>
    </row>
    <row r="41" spans="1:6" s="77" customFormat="1" ht="50.1" customHeight="1" thickBot="1">
      <c r="A41" s="84" t="s">
        <v>164</v>
      </c>
      <c r="B41" s="82" t="str">
        <f>IF('Тека ГП'!B44="","",TEXT('Тека ГП'!B44, "ДДММ"))</f>
        <v/>
      </c>
      <c r="F41" s="284"/>
    </row>
    <row r="42" spans="1:6" ht="50.1" customHeight="1" thickBot="1">
      <c r="A42" s="84" t="s">
        <v>166</v>
      </c>
      <c r="B42" s="82" t="str">
        <f>IF('Тека ГП'!B45="","",TEXT('Тека ГП'!B45, "ДДММ"))</f>
        <v/>
      </c>
      <c r="F42" s="280"/>
    </row>
    <row r="43" spans="1:6" ht="50.1" customHeight="1" thickBot="1">
      <c r="A43" s="84" t="s">
        <v>168</v>
      </c>
      <c r="B43" s="82" t="str">
        <f>IF('Тека ГП'!B46="","",TEXT('Тека ГП'!B46, "ДДММ"))</f>
        <v/>
      </c>
      <c r="F43" s="280"/>
    </row>
    <row r="44" spans="1:6" ht="50.1" customHeight="1" thickBot="1">
      <c r="A44" s="84" t="s">
        <v>170</v>
      </c>
      <c r="B44" s="82" t="str">
        <f>IF('Тека ГП'!B47="","",TEXT('Тека ГП'!B47, "ДДММ"))</f>
        <v/>
      </c>
      <c r="F44" s="280"/>
    </row>
    <row r="45" spans="1:6" ht="50.1" customHeight="1" thickBot="1">
      <c r="A45" s="84" t="s">
        <v>171</v>
      </c>
      <c r="B45" s="82" t="str">
        <f>IF('Тека ГП'!B48="","",TEXT('Тека ГП'!B48, "ДДММ"))</f>
        <v/>
      </c>
      <c r="F45" s="280"/>
    </row>
    <row r="46" spans="1:6" ht="50.1" customHeight="1" thickBot="1">
      <c r="A46" s="84" t="s">
        <v>173</v>
      </c>
      <c r="B46" s="82" t="str">
        <f>IF('Тека ГП'!B49="","",TEXT('Тека ГП'!B49, "ДДММ"))</f>
        <v/>
      </c>
      <c r="F46" s="280"/>
    </row>
    <row r="47" spans="1:6" ht="50.1" customHeight="1" thickBot="1">
      <c r="A47" s="84" t="s">
        <v>175</v>
      </c>
      <c r="B47" s="82" t="str">
        <f>IF('Тека ГП'!B50="","",TEXT('Тека ГП'!B50, "ДДММ"))</f>
        <v/>
      </c>
      <c r="F47" s="280"/>
    </row>
    <row r="48" spans="1:6" ht="50.1" customHeight="1" thickBot="1">
      <c r="A48" s="84" t="s">
        <v>223</v>
      </c>
      <c r="B48" s="82" t="str">
        <f>IF('Тека ГП'!B51="","",TEXT('Тека ГП'!B51, "ДДММ"))</f>
        <v/>
      </c>
      <c r="F48" s="280"/>
    </row>
    <row r="49" spans="1:6" ht="50.1" customHeight="1" thickBot="1">
      <c r="A49" s="84" t="s">
        <v>310</v>
      </c>
      <c r="B49" s="82" t="str">
        <f>IF('Тека ГП'!B52="","",TEXT('Тека ГП'!B52, "ДДММ"))</f>
        <v/>
      </c>
      <c r="F49" s="280"/>
    </row>
    <row r="50" spans="1:6" ht="50.1" customHeight="1" thickBot="1">
      <c r="A50" s="84" t="s">
        <v>398</v>
      </c>
      <c r="B50" s="82" t="str">
        <f>IF('Тека ГП'!B53="","",TEXT('Тека ГП'!B53, "ДДММ"))</f>
        <v/>
      </c>
      <c r="F50" s="280"/>
    </row>
    <row r="51" spans="1:6" ht="50.1" customHeight="1" thickBot="1">
      <c r="A51" s="84" t="s">
        <v>401</v>
      </c>
      <c r="B51" s="82" t="str">
        <f>IF('Тека ГП'!B54="","",TEXT('Тека ГП'!B54, "ДДММ"))</f>
        <v/>
      </c>
      <c r="F51" s="280"/>
    </row>
    <row r="52" spans="1:6" ht="50.1" customHeight="1" thickBot="1">
      <c r="A52" s="84" t="s">
        <v>402</v>
      </c>
      <c r="B52" s="82" t="str">
        <f>IF('Тека ГП'!B55="","",TEXT('Тека ГП'!B55, "ДДММ"))</f>
        <v/>
      </c>
      <c r="F52" s="280"/>
    </row>
    <row r="53" spans="1:6" ht="50.1" customHeight="1" thickBot="1">
      <c r="A53" s="84" t="s">
        <v>309</v>
      </c>
      <c r="B53" s="82" t="str">
        <f>IF('Тека ГП'!B60="","",TEXT('Тека ГП'!B60, "ДДММ"))</f>
        <v/>
      </c>
      <c r="F53" s="280"/>
    </row>
    <row r="54" spans="1:6" ht="50.1" customHeight="1" thickBot="1">
      <c r="A54" s="84" t="s">
        <v>380</v>
      </c>
      <c r="B54" s="82" t="str">
        <f>IF('Тека ГП'!B61="","",TEXT('Тека ГП'!B61, "ДДММ"))</f>
        <v/>
      </c>
      <c r="F54" s="280"/>
    </row>
    <row r="55" spans="1:6" ht="50.1" customHeight="1" thickBot="1">
      <c r="A55" s="84" t="s">
        <v>381</v>
      </c>
      <c r="B55" s="82" t="str">
        <f>IF('Тека ГП'!B62="","",TEXT('Тека ГП'!B62, "ДДММ"))</f>
        <v/>
      </c>
      <c r="F55" s="280"/>
    </row>
    <row r="56" spans="1:6" ht="50.1" customHeight="1" thickBot="1">
      <c r="A56" s="84" t="s">
        <v>382</v>
      </c>
      <c r="B56" s="82" t="str">
        <f>IF('Тека ГП'!B63="","",TEXT('Тека ГП'!B63, "ДДММ"))</f>
        <v/>
      </c>
      <c r="F56" s="280"/>
    </row>
    <row r="57" spans="1:6" ht="50.1" customHeight="1" thickBot="1">
      <c r="A57" s="84" t="s">
        <v>235</v>
      </c>
      <c r="B57" s="82" t="str">
        <f>IF('Тека ГП'!B64="","",TEXT('Тека ГП'!B64, "ДДММ"))</f>
        <v/>
      </c>
      <c r="F57" s="280"/>
    </row>
    <row r="58" spans="1:6" ht="50.1" customHeight="1" thickBot="1">
      <c r="A58" s="87" t="s">
        <v>236</v>
      </c>
      <c r="B58" s="82" t="str">
        <f>IF('Тека ГП'!B65="","",TEXT('Тека ГП'!B65, "ДДММ"))</f>
        <v/>
      </c>
      <c r="F58" s="280"/>
    </row>
    <row r="59" spans="1:6" ht="50.1" customHeight="1" thickBot="1">
      <c r="A59" s="87" t="s">
        <v>237</v>
      </c>
      <c r="B59" s="82" t="str">
        <f>IF('Тека ГП'!B66="","",TEXT('Тека ГП'!B66, "ДДММ"))</f>
        <v/>
      </c>
      <c r="F59" s="280"/>
    </row>
    <row r="60" spans="1:6" ht="50.1" customHeight="1" thickBot="1">
      <c r="A60" s="87" t="s">
        <v>238</v>
      </c>
      <c r="B60" s="82" t="str">
        <f>IF('Тека ГП'!B67="","",TEXT('Тека ГП'!B67, "ДДММ"))</f>
        <v/>
      </c>
      <c r="F60" s="280"/>
    </row>
    <row r="61" spans="1:6" ht="50.1" customHeight="1" thickBot="1">
      <c r="A61" s="87" t="s">
        <v>239</v>
      </c>
      <c r="B61" s="82" t="str">
        <f>IF('Тека ГП'!B68="","",TEXT('Тека ГП'!B68, "ДДММ"))</f>
        <v/>
      </c>
      <c r="F61" s="280"/>
    </row>
    <row r="62" spans="1:6" ht="50.1" customHeight="1" thickBot="1">
      <c r="A62" s="84" t="s">
        <v>240</v>
      </c>
      <c r="B62" s="82" t="str">
        <f>IF('Тека ГП'!B69="","",TEXT('Тека ГП'!B69, "ДДММ"))</f>
        <v/>
      </c>
      <c r="F62" s="280"/>
    </row>
    <row r="63" spans="1:6" ht="50.1" customHeight="1" thickBot="1">
      <c r="A63" s="84" t="s">
        <v>241</v>
      </c>
      <c r="B63" s="82" t="str">
        <f>IF('Тека ГП'!B70="","",TEXT('Тека ГП'!B70, "ДДММ"))</f>
        <v/>
      </c>
      <c r="F63" s="280"/>
    </row>
    <row r="64" spans="1:6" ht="50.1" customHeight="1" thickBot="1">
      <c r="A64" s="84" t="s">
        <v>242</v>
      </c>
      <c r="B64" s="82" t="str">
        <f>IF('Тека ГП'!B71="","",TEXT('Тека ГП'!B71, "ДДММ"))</f>
        <v/>
      </c>
      <c r="F64" s="280"/>
    </row>
    <row r="65" spans="1:6" ht="50.1" customHeight="1" thickBot="1">
      <c r="A65" s="84" t="s">
        <v>243</v>
      </c>
      <c r="B65" s="82" t="str">
        <f>IF('Тека ГП'!B72="","",TEXT('Тека ГП'!B72, "ДДММ"))</f>
        <v/>
      </c>
      <c r="F65" s="280"/>
    </row>
    <row r="66" spans="1:6" ht="45.75" thickBot="1">
      <c r="A66" s="84" t="s">
        <v>383</v>
      </c>
      <c r="B66" s="250" t="str">
        <f t="shared" ref="B66" ca="1" si="0">TEXT($A$2,"ДДММ")</f>
        <v>0807</v>
      </c>
      <c r="C66" s="251"/>
      <c r="F66" s="280"/>
    </row>
    <row r="67" spans="1:6" ht="45.75" thickBot="1">
      <c r="A67" s="84" t="s">
        <v>384</v>
      </c>
      <c r="B67" s="250" t="str">
        <f ca="1">TEXT($A$2,"ДДММ")</f>
        <v>0807</v>
      </c>
      <c r="F67" s="280"/>
    </row>
    <row r="68" spans="1:6" ht="45.75" thickBot="1">
      <c r="A68" s="84" t="s">
        <v>385</v>
      </c>
      <c r="B68" s="250" t="str">
        <f t="shared" ref="B68:B69" ca="1" si="1">TEXT($A$2,"ДДММ")</f>
        <v>0807</v>
      </c>
      <c r="F68" s="280"/>
    </row>
    <row r="69" spans="1:6" ht="45">
      <c r="A69" s="84" t="s">
        <v>386</v>
      </c>
      <c r="B69" s="250" t="str">
        <f t="shared" ca="1" si="1"/>
        <v>0807</v>
      </c>
      <c r="F69" s="280"/>
    </row>
  </sheetData>
  <mergeCells count="2">
    <mergeCell ref="A1:B1"/>
    <mergeCell ref="B2:B4"/>
  </mergeCells>
  <pageMargins left="0.7" right="0.7" top="0.75" bottom="0.75" header="0.3" footer="0.3"/>
  <pageSetup paperSize="9" scale="22" orientation="portrait" blackAndWhite="1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B1CE0-127F-4D15-A746-CE6019374D96}">
  <sheetPr codeName="Лист2">
    <pageSetUpPr fitToPage="1"/>
  </sheetPr>
  <dimension ref="A1:L89"/>
  <sheetViews>
    <sheetView view="pageBreakPreview" zoomScale="70" zoomScaleNormal="100" zoomScaleSheetLayoutView="70" workbookViewId="0">
      <selection activeCell="B85" sqref="B85"/>
    </sheetView>
  </sheetViews>
  <sheetFormatPr defaultRowHeight="15"/>
  <cols>
    <col min="1" max="1" width="129.140625" customWidth="1"/>
    <col min="2" max="11" width="19.7109375" customWidth="1"/>
    <col min="12" max="12" width="24" customWidth="1"/>
    <col min="244" max="244" width="6.140625" bestFit="1" customWidth="1"/>
    <col min="245" max="245" width="35.7109375" customWidth="1"/>
    <col min="246" max="246" width="4.85546875" bestFit="1" customWidth="1"/>
    <col min="247" max="247" width="7.7109375" customWidth="1"/>
    <col min="500" max="500" width="6.140625" bestFit="1" customWidth="1"/>
    <col min="501" max="501" width="35.7109375" customWidth="1"/>
    <col min="502" max="502" width="4.85546875" bestFit="1" customWidth="1"/>
    <col min="503" max="503" width="7.7109375" customWidth="1"/>
    <col min="756" max="756" width="6.140625" bestFit="1" customWidth="1"/>
    <col min="757" max="757" width="35.7109375" customWidth="1"/>
    <col min="758" max="758" width="4.85546875" bestFit="1" customWidth="1"/>
    <col min="759" max="759" width="7.7109375" customWidth="1"/>
    <col min="1012" max="1012" width="6.140625" bestFit="1" customWidth="1"/>
    <col min="1013" max="1013" width="35.7109375" customWidth="1"/>
    <col min="1014" max="1014" width="4.85546875" bestFit="1" customWidth="1"/>
    <col min="1015" max="1015" width="7.7109375" customWidth="1"/>
    <col min="1268" max="1268" width="6.140625" bestFit="1" customWidth="1"/>
    <col min="1269" max="1269" width="35.7109375" customWidth="1"/>
    <col min="1270" max="1270" width="4.85546875" bestFit="1" customWidth="1"/>
    <col min="1271" max="1271" width="7.7109375" customWidth="1"/>
    <col min="1524" max="1524" width="6.140625" bestFit="1" customWidth="1"/>
    <col min="1525" max="1525" width="35.7109375" customWidth="1"/>
    <col min="1526" max="1526" width="4.85546875" bestFit="1" customWidth="1"/>
    <col min="1527" max="1527" width="7.7109375" customWidth="1"/>
    <col min="1780" max="1780" width="6.140625" bestFit="1" customWidth="1"/>
    <col min="1781" max="1781" width="35.7109375" customWidth="1"/>
    <col min="1782" max="1782" width="4.85546875" bestFit="1" customWidth="1"/>
    <col min="1783" max="1783" width="7.7109375" customWidth="1"/>
    <col min="2036" max="2036" width="6.140625" bestFit="1" customWidth="1"/>
    <col min="2037" max="2037" width="35.7109375" customWidth="1"/>
    <col min="2038" max="2038" width="4.85546875" bestFit="1" customWidth="1"/>
    <col min="2039" max="2039" width="7.7109375" customWidth="1"/>
    <col min="2292" max="2292" width="6.140625" bestFit="1" customWidth="1"/>
    <col min="2293" max="2293" width="35.7109375" customWidth="1"/>
    <col min="2294" max="2294" width="4.85546875" bestFit="1" customWidth="1"/>
    <col min="2295" max="2295" width="7.7109375" customWidth="1"/>
    <col min="2548" max="2548" width="6.140625" bestFit="1" customWidth="1"/>
    <col min="2549" max="2549" width="35.7109375" customWidth="1"/>
    <col min="2550" max="2550" width="4.85546875" bestFit="1" customWidth="1"/>
    <col min="2551" max="2551" width="7.7109375" customWidth="1"/>
    <col min="2804" max="2804" width="6.140625" bestFit="1" customWidth="1"/>
    <col min="2805" max="2805" width="35.7109375" customWidth="1"/>
    <col min="2806" max="2806" width="4.85546875" bestFit="1" customWidth="1"/>
    <col min="2807" max="2807" width="7.7109375" customWidth="1"/>
    <col min="3060" max="3060" width="6.140625" bestFit="1" customWidth="1"/>
    <col min="3061" max="3061" width="35.7109375" customWidth="1"/>
    <col min="3062" max="3062" width="4.85546875" bestFit="1" customWidth="1"/>
    <col min="3063" max="3063" width="7.7109375" customWidth="1"/>
    <col min="3316" max="3316" width="6.140625" bestFit="1" customWidth="1"/>
    <col min="3317" max="3317" width="35.7109375" customWidth="1"/>
    <col min="3318" max="3318" width="4.85546875" bestFit="1" customWidth="1"/>
    <col min="3319" max="3319" width="7.7109375" customWidth="1"/>
    <col min="3572" max="3572" width="6.140625" bestFit="1" customWidth="1"/>
    <col min="3573" max="3573" width="35.7109375" customWidth="1"/>
    <col min="3574" max="3574" width="4.85546875" bestFit="1" customWidth="1"/>
    <col min="3575" max="3575" width="7.7109375" customWidth="1"/>
    <col min="3828" max="3828" width="6.140625" bestFit="1" customWidth="1"/>
    <col min="3829" max="3829" width="35.7109375" customWidth="1"/>
    <col min="3830" max="3830" width="4.85546875" bestFit="1" customWidth="1"/>
    <col min="3831" max="3831" width="7.7109375" customWidth="1"/>
    <col min="4084" max="4084" width="6.140625" bestFit="1" customWidth="1"/>
    <col min="4085" max="4085" width="35.7109375" customWidth="1"/>
    <col min="4086" max="4086" width="4.85546875" bestFit="1" customWidth="1"/>
    <col min="4087" max="4087" width="7.7109375" customWidth="1"/>
    <col min="4340" max="4340" width="6.140625" bestFit="1" customWidth="1"/>
    <col min="4341" max="4341" width="35.7109375" customWidth="1"/>
    <col min="4342" max="4342" width="4.85546875" bestFit="1" customWidth="1"/>
    <col min="4343" max="4343" width="7.7109375" customWidth="1"/>
    <col min="4596" max="4596" width="6.140625" bestFit="1" customWidth="1"/>
    <col min="4597" max="4597" width="35.7109375" customWidth="1"/>
    <col min="4598" max="4598" width="4.85546875" bestFit="1" customWidth="1"/>
    <col min="4599" max="4599" width="7.7109375" customWidth="1"/>
    <col min="4852" max="4852" width="6.140625" bestFit="1" customWidth="1"/>
    <col min="4853" max="4853" width="35.7109375" customWidth="1"/>
    <col min="4854" max="4854" width="4.85546875" bestFit="1" customWidth="1"/>
    <col min="4855" max="4855" width="7.7109375" customWidth="1"/>
    <col min="5108" max="5108" width="6.140625" bestFit="1" customWidth="1"/>
    <col min="5109" max="5109" width="35.7109375" customWidth="1"/>
    <col min="5110" max="5110" width="4.85546875" bestFit="1" customWidth="1"/>
    <col min="5111" max="5111" width="7.7109375" customWidth="1"/>
    <col min="5364" max="5364" width="6.140625" bestFit="1" customWidth="1"/>
    <col min="5365" max="5365" width="35.7109375" customWidth="1"/>
    <col min="5366" max="5366" width="4.85546875" bestFit="1" customWidth="1"/>
    <col min="5367" max="5367" width="7.7109375" customWidth="1"/>
    <col min="5620" max="5620" width="6.140625" bestFit="1" customWidth="1"/>
    <col min="5621" max="5621" width="35.7109375" customWidth="1"/>
    <col min="5622" max="5622" width="4.85546875" bestFit="1" customWidth="1"/>
    <col min="5623" max="5623" width="7.7109375" customWidth="1"/>
    <col min="5876" max="5876" width="6.140625" bestFit="1" customWidth="1"/>
    <col min="5877" max="5877" width="35.7109375" customWidth="1"/>
    <col min="5878" max="5878" width="4.85546875" bestFit="1" customWidth="1"/>
    <col min="5879" max="5879" width="7.7109375" customWidth="1"/>
    <col min="6132" max="6132" width="6.140625" bestFit="1" customWidth="1"/>
    <col min="6133" max="6133" width="35.7109375" customWidth="1"/>
    <col min="6134" max="6134" width="4.85546875" bestFit="1" customWidth="1"/>
    <col min="6135" max="6135" width="7.7109375" customWidth="1"/>
    <col min="6388" max="6388" width="6.140625" bestFit="1" customWidth="1"/>
    <col min="6389" max="6389" width="35.7109375" customWidth="1"/>
    <col min="6390" max="6390" width="4.85546875" bestFit="1" customWidth="1"/>
    <col min="6391" max="6391" width="7.7109375" customWidth="1"/>
    <col min="6644" max="6644" width="6.140625" bestFit="1" customWidth="1"/>
    <col min="6645" max="6645" width="35.7109375" customWidth="1"/>
    <col min="6646" max="6646" width="4.85546875" bestFit="1" customWidth="1"/>
    <col min="6647" max="6647" width="7.7109375" customWidth="1"/>
    <col min="6900" max="6900" width="6.140625" bestFit="1" customWidth="1"/>
    <col min="6901" max="6901" width="35.7109375" customWidth="1"/>
    <col min="6902" max="6902" width="4.85546875" bestFit="1" customWidth="1"/>
    <col min="6903" max="6903" width="7.7109375" customWidth="1"/>
    <col min="7156" max="7156" width="6.140625" bestFit="1" customWidth="1"/>
    <col min="7157" max="7157" width="35.7109375" customWidth="1"/>
    <col min="7158" max="7158" width="4.85546875" bestFit="1" customWidth="1"/>
    <col min="7159" max="7159" width="7.7109375" customWidth="1"/>
    <col min="7412" max="7412" width="6.140625" bestFit="1" customWidth="1"/>
    <col min="7413" max="7413" width="35.7109375" customWidth="1"/>
    <col min="7414" max="7414" width="4.85546875" bestFit="1" customWidth="1"/>
    <col min="7415" max="7415" width="7.7109375" customWidth="1"/>
    <col min="7668" max="7668" width="6.140625" bestFit="1" customWidth="1"/>
    <col min="7669" max="7669" width="35.7109375" customWidth="1"/>
    <col min="7670" max="7670" width="4.85546875" bestFit="1" customWidth="1"/>
    <col min="7671" max="7671" width="7.7109375" customWidth="1"/>
    <col min="7924" max="7924" width="6.140625" bestFit="1" customWidth="1"/>
    <col min="7925" max="7925" width="35.7109375" customWidth="1"/>
    <col min="7926" max="7926" width="4.85546875" bestFit="1" customWidth="1"/>
    <col min="7927" max="7927" width="7.7109375" customWidth="1"/>
    <col min="8180" max="8180" width="6.140625" bestFit="1" customWidth="1"/>
    <col min="8181" max="8181" width="35.7109375" customWidth="1"/>
    <col min="8182" max="8182" width="4.85546875" bestFit="1" customWidth="1"/>
    <col min="8183" max="8183" width="7.7109375" customWidth="1"/>
    <col min="8436" max="8436" width="6.140625" bestFit="1" customWidth="1"/>
    <col min="8437" max="8437" width="35.7109375" customWidth="1"/>
    <col min="8438" max="8438" width="4.85546875" bestFit="1" customWidth="1"/>
    <col min="8439" max="8439" width="7.7109375" customWidth="1"/>
    <col min="8692" max="8692" width="6.140625" bestFit="1" customWidth="1"/>
    <col min="8693" max="8693" width="35.7109375" customWidth="1"/>
    <col min="8694" max="8694" width="4.85546875" bestFit="1" customWidth="1"/>
    <col min="8695" max="8695" width="7.7109375" customWidth="1"/>
    <col min="8948" max="8948" width="6.140625" bestFit="1" customWidth="1"/>
    <col min="8949" max="8949" width="35.7109375" customWidth="1"/>
    <col min="8950" max="8950" width="4.85546875" bestFit="1" customWidth="1"/>
    <col min="8951" max="8951" width="7.7109375" customWidth="1"/>
    <col min="9204" max="9204" width="6.140625" bestFit="1" customWidth="1"/>
    <col min="9205" max="9205" width="35.7109375" customWidth="1"/>
    <col min="9206" max="9206" width="4.85546875" bestFit="1" customWidth="1"/>
    <col min="9207" max="9207" width="7.7109375" customWidth="1"/>
    <col min="9460" max="9460" width="6.140625" bestFit="1" customWidth="1"/>
    <col min="9461" max="9461" width="35.7109375" customWidth="1"/>
    <col min="9462" max="9462" width="4.85546875" bestFit="1" customWidth="1"/>
    <col min="9463" max="9463" width="7.7109375" customWidth="1"/>
    <col min="9716" max="9716" width="6.140625" bestFit="1" customWidth="1"/>
    <col min="9717" max="9717" width="35.7109375" customWidth="1"/>
    <col min="9718" max="9718" width="4.85546875" bestFit="1" customWidth="1"/>
    <col min="9719" max="9719" width="7.7109375" customWidth="1"/>
    <col min="9972" max="9972" width="6.140625" bestFit="1" customWidth="1"/>
    <col min="9973" max="9973" width="35.7109375" customWidth="1"/>
    <col min="9974" max="9974" width="4.85546875" bestFit="1" customWidth="1"/>
    <col min="9975" max="9975" width="7.7109375" customWidth="1"/>
    <col min="10228" max="10228" width="6.140625" bestFit="1" customWidth="1"/>
    <col min="10229" max="10229" width="35.7109375" customWidth="1"/>
    <col min="10230" max="10230" width="4.85546875" bestFit="1" customWidth="1"/>
    <col min="10231" max="10231" width="7.7109375" customWidth="1"/>
    <col min="10484" max="10484" width="6.140625" bestFit="1" customWidth="1"/>
    <col min="10485" max="10485" width="35.7109375" customWidth="1"/>
    <col min="10486" max="10486" width="4.85546875" bestFit="1" customWidth="1"/>
    <col min="10487" max="10487" width="7.7109375" customWidth="1"/>
    <col min="10740" max="10740" width="6.140625" bestFit="1" customWidth="1"/>
    <col min="10741" max="10741" width="35.7109375" customWidth="1"/>
    <col min="10742" max="10742" width="4.85546875" bestFit="1" customWidth="1"/>
    <col min="10743" max="10743" width="7.7109375" customWidth="1"/>
    <col min="10996" max="10996" width="6.140625" bestFit="1" customWidth="1"/>
    <col min="10997" max="10997" width="35.7109375" customWidth="1"/>
    <col min="10998" max="10998" width="4.85546875" bestFit="1" customWidth="1"/>
    <col min="10999" max="10999" width="7.7109375" customWidth="1"/>
    <col min="11252" max="11252" width="6.140625" bestFit="1" customWidth="1"/>
    <col min="11253" max="11253" width="35.7109375" customWidth="1"/>
    <col min="11254" max="11254" width="4.85546875" bestFit="1" customWidth="1"/>
    <col min="11255" max="11255" width="7.7109375" customWidth="1"/>
    <col min="11508" max="11508" width="6.140625" bestFit="1" customWidth="1"/>
    <col min="11509" max="11509" width="35.7109375" customWidth="1"/>
    <col min="11510" max="11510" width="4.85546875" bestFit="1" customWidth="1"/>
    <col min="11511" max="11511" width="7.7109375" customWidth="1"/>
    <col min="11764" max="11764" width="6.140625" bestFit="1" customWidth="1"/>
    <col min="11765" max="11765" width="35.7109375" customWidth="1"/>
    <col min="11766" max="11766" width="4.85546875" bestFit="1" customWidth="1"/>
    <col min="11767" max="11767" width="7.7109375" customWidth="1"/>
    <col min="12020" max="12020" width="6.140625" bestFit="1" customWidth="1"/>
    <col min="12021" max="12021" width="35.7109375" customWidth="1"/>
    <col min="12022" max="12022" width="4.85546875" bestFit="1" customWidth="1"/>
    <col min="12023" max="12023" width="7.7109375" customWidth="1"/>
    <col min="12276" max="12276" width="6.140625" bestFit="1" customWidth="1"/>
    <col min="12277" max="12277" width="35.7109375" customWidth="1"/>
    <col min="12278" max="12278" width="4.85546875" bestFit="1" customWidth="1"/>
    <col min="12279" max="12279" width="7.7109375" customWidth="1"/>
    <col min="12532" max="12532" width="6.140625" bestFit="1" customWidth="1"/>
    <col min="12533" max="12533" width="35.7109375" customWidth="1"/>
    <col min="12534" max="12534" width="4.85546875" bestFit="1" customWidth="1"/>
    <col min="12535" max="12535" width="7.7109375" customWidth="1"/>
    <col min="12788" max="12788" width="6.140625" bestFit="1" customWidth="1"/>
    <col min="12789" max="12789" width="35.7109375" customWidth="1"/>
    <col min="12790" max="12790" width="4.85546875" bestFit="1" customWidth="1"/>
    <col min="12791" max="12791" width="7.7109375" customWidth="1"/>
    <col min="13044" max="13044" width="6.140625" bestFit="1" customWidth="1"/>
    <col min="13045" max="13045" width="35.7109375" customWidth="1"/>
    <col min="13046" max="13046" width="4.85546875" bestFit="1" customWidth="1"/>
    <col min="13047" max="13047" width="7.7109375" customWidth="1"/>
    <col min="13300" max="13300" width="6.140625" bestFit="1" customWidth="1"/>
    <col min="13301" max="13301" width="35.7109375" customWidth="1"/>
    <col min="13302" max="13302" width="4.85546875" bestFit="1" customWidth="1"/>
    <col min="13303" max="13303" width="7.7109375" customWidth="1"/>
    <col min="13556" max="13556" width="6.140625" bestFit="1" customWidth="1"/>
    <col min="13557" max="13557" width="35.7109375" customWidth="1"/>
    <col min="13558" max="13558" width="4.85546875" bestFit="1" customWidth="1"/>
    <col min="13559" max="13559" width="7.7109375" customWidth="1"/>
    <col min="13812" max="13812" width="6.140625" bestFit="1" customWidth="1"/>
    <col min="13813" max="13813" width="35.7109375" customWidth="1"/>
    <col min="13814" max="13814" width="4.85546875" bestFit="1" customWidth="1"/>
    <col min="13815" max="13815" width="7.7109375" customWidth="1"/>
    <col min="14068" max="14068" width="6.140625" bestFit="1" customWidth="1"/>
    <col min="14069" max="14069" width="35.7109375" customWidth="1"/>
    <col min="14070" max="14070" width="4.85546875" bestFit="1" customWidth="1"/>
    <col min="14071" max="14071" width="7.7109375" customWidth="1"/>
    <col min="14324" max="14324" width="6.140625" bestFit="1" customWidth="1"/>
    <col min="14325" max="14325" width="35.7109375" customWidth="1"/>
    <col min="14326" max="14326" width="4.85546875" bestFit="1" customWidth="1"/>
    <col min="14327" max="14327" width="7.7109375" customWidth="1"/>
    <col min="14580" max="14580" width="6.140625" bestFit="1" customWidth="1"/>
    <col min="14581" max="14581" width="35.7109375" customWidth="1"/>
    <col min="14582" max="14582" width="4.85546875" bestFit="1" customWidth="1"/>
    <col min="14583" max="14583" width="7.7109375" customWidth="1"/>
    <col min="14836" max="14836" width="6.140625" bestFit="1" customWidth="1"/>
    <col min="14837" max="14837" width="35.7109375" customWidth="1"/>
    <col min="14838" max="14838" width="4.85546875" bestFit="1" customWidth="1"/>
    <col min="14839" max="14839" width="7.7109375" customWidth="1"/>
    <col min="15092" max="15092" width="6.140625" bestFit="1" customWidth="1"/>
    <col min="15093" max="15093" width="35.7109375" customWidth="1"/>
    <col min="15094" max="15094" width="4.85546875" bestFit="1" customWidth="1"/>
    <col min="15095" max="15095" width="7.7109375" customWidth="1"/>
    <col min="15348" max="15348" width="6.140625" bestFit="1" customWidth="1"/>
    <col min="15349" max="15349" width="35.7109375" customWidth="1"/>
    <col min="15350" max="15350" width="4.85546875" bestFit="1" customWidth="1"/>
    <col min="15351" max="15351" width="7.7109375" customWidth="1"/>
    <col min="15604" max="15604" width="6.140625" bestFit="1" customWidth="1"/>
    <col min="15605" max="15605" width="35.7109375" customWidth="1"/>
    <col min="15606" max="15606" width="4.85546875" bestFit="1" customWidth="1"/>
    <col min="15607" max="15607" width="7.7109375" customWidth="1"/>
    <col min="15860" max="15860" width="6.140625" bestFit="1" customWidth="1"/>
    <col min="15861" max="15861" width="35.7109375" customWidth="1"/>
    <col min="15862" max="15862" width="4.85546875" bestFit="1" customWidth="1"/>
    <col min="15863" max="15863" width="7.7109375" customWidth="1"/>
    <col min="16116" max="16116" width="6.140625" bestFit="1" customWidth="1"/>
    <col min="16117" max="16117" width="35.7109375" customWidth="1"/>
    <col min="16118" max="16118" width="4.85546875" bestFit="1" customWidth="1"/>
    <col min="16119" max="16119" width="7.7109375" customWidth="1"/>
  </cols>
  <sheetData>
    <row r="1" spans="1:12" ht="33" customHeight="1" thickBot="1">
      <c r="A1" s="352" t="s">
        <v>389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236"/>
    </row>
    <row r="2" spans="1:12" ht="20.25" customHeight="1" thickBot="1">
      <c r="A2" s="354">
        <f ca="1">'Тека ГП'!$C$4</f>
        <v>46211</v>
      </c>
      <c r="B2" s="356" t="s">
        <v>246</v>
      </c>
      <c r="C2" s="357"/>
      <c r="D2" s="357"/>
      <c r="E2" s="357"/>
      <c r="F2" s="357"/>
      <c r="G2" s="357"/>
      <c r="H2" s="357"/>
      <c r="I2" s="357"/>
      <c r="J2" s="357"/>
      <c r="K2" s="357"/>
      <c r="L2" s="358" t="s">
        <v>247</v>
      </c>
    </row>
    <row r="3" spans="1:12" ht="29.25" customHeight="1" thickBot="1">
      <c r="A3" s="355"/>
      <c r="B3" s="237"/>
      <c r="C3" s="238"/>
      <c r="D3" s="238"/>
      <c r="E3" s="238"/>
      <c r="F3" s="238"/>
      <c r="G3" s="238"/>
      <c r="H3" s="238"/>
      <c r="I3" s="239"/>
      <c r="J3" s="239"/>
      <c r="K3" s="240"/>
      <c r="L3" s="359"/>
    </row>
    <row r="4" spans="1:12" ht="23.25" customHeight="1" thickBot="1">
      <c r="A4" s="241" t="s">
        <v>248</v>
      </c>
      <c r="B4" s="361" t="s">
        <v>249</v>
      </c>
      <c r="C4" s="362"/>
      <c r="D4" s="362"/>
      <c r="E4" s="362"/>
      <c r="F4" s="362"/>
      <c r="G4" s="362"/>
      <c r="H4" s="362"/>
      <c r="I4" s="362"/>
      <c r="J4" s="362"/>
      <c r="K4" s="363"/>
      <c r="L4" s="360"/>
    </row>
    <row r="5" spans="1:12" s="77" customFormat="1" ht="30" customHeight="1">
      <c r="A5" s="263" t="s">
        <v>261</v>
      </c>
      <c r="B5" s="242"/>
      <c r="C5" s="97"/>
      <c r="D5" s="97"/>
      <c r="E5" s="97"/>
      <c r="F5" s="97"/>
      <c r="G5" s="97"/>
      <c r="H5" s="97"/>
      <c r="I5" s="97"/>
      <c r="J5" s="97"/>
      <c r="K5" s="243"/>
      <c r="L5" s="244"/>
    </row>
    <row r="6" spans="1:12" s="77" customFormat="1" ht="30" customHeight="1">
      <c r="A6" s="264" t="s">
        <v>255</v>
      </c>
      <c r="B6" s="75"/>
      <c r="C6" s="76"/>
      <c r="D6" s="76"/>
      <c r="E6" s="76"/>
      <c r="F6" s="76"/>
      <c r="G6" s="76"/>
      <c r="H6" s="76"/>
      <c r="I6" s="76"/>
      <c r="J6" s="76"/>
      <c r="K6" s="245"/>
      <c r="L6" s="246"/>
    </row>
    <row r="7" spans="1:12" s="77" customFormat="1" ht="30" customHeight="1">
      <c r="A7" s="264" t="s">
        <v>257</v>
      </c>
      <c r="B7" s="75"/>
      <c r="C7" s="76"/>
      <c r="D7" s="76"/>
      <c r="E7" s="76"/>
      <c r="F7" s="76"/>
      <c r="G7" s="76"/>
      <c r="H7" s="76"/>
      <c r="I7" s="76"/>
      <c r="J7" s="76"/>
      <c r="K7" s="245"/>
      <c r="L7" s="246"/>
    </row>
    <row r="8" spans="1:12" s="77" customFormat="1" ht="30" customHeight="1">
      <c r="A8" s="264" t="s">
        <v>256</v>
      </c>
      <c r="B8" s="75"/>
      <c r="C8" s="76"/>
      <c r="D8" s="76"/>
      <c r="E8" s="76"/>
      <c r="F8" s="76"/>
      <c r="G8" s="76"/>
      <c r="H8" s="76"/>
      <c r="I8" s="76"/>
      <c r="J8" s="76"/>
      <c r="K8" s="245"/>
      <c r="L8" s="246"/>
    </row>
    <row r="9" spans="1:12" s="77" customFormat="1" ht="30" customHeight="1">
      <c r="A9" s="264" t="s">
        <v>262</v>
      </c>
      <c r="B9" s="75"/>
      <c r="C9" s="76"/>
      <c r="D9" s="76"/>
      <c r="E9" s="76"/>
      <c r="F9" s="76"/>
      <c r="G9" s="76"/>
      <c r="H9" s="76"/>
      <c r="I9" s="76"/>
      <c r="J9" s="76"/>
      <c r="K9" s="245"/>
      <c r="L9" s="246"/>
    </row>
    <row r="10" spans="1:12" s="77" customFormat="1" ht="30" customHeight="1">
      <c r="A10" s="265" t="s">
        <v>313</v>
      </c>
      <c r="B10" s="75"/>
      <c r="C10" s="76"/>
      <c r="D10" s="76"/>
      <c r="E10" s="76"/>
      <c r="F10" s="76"/>
      <c r="G10" s="76"/>
      <c r="H10" s="76"/>
      <c r="I10" s="76"/>
      <c r="J10" s="76"/>
      <c r="K10" s="245"/>
      <c r="L10" s="246"/>
    </row>
    <row r="11" spans="1:12" s="77" customFormat="1" ht="30" customHeight="1">
      <c r="A11" s="266" t="s">
        <v>263</v>
      </c>
      <c r="B11" s="75"/>
      <c r="C11" s="76"/>
      <c r="D11" s="76"/>
      <c r="E11" s="76"/>
      <c r="F11" s="76"/>
      <c r="G11" s="76"/>
      <c r="H11" s="76"/>
      <c r="I11" s="76"/>
      <c r="J11" s="76"/>
      <c r="K11" s="245"/>
      <c r="L11" s="246"/>
    </row>
    <row r="12" spans="1:12" s="77" customFormat="1" ht="30" customHeight="1">
      <c r="A12" s="267" t="s">
        <v>264</v>
      </c>
      <c r="B12" s="75"/>
      <c r="C12" s="76"/>
      <c r="D12" s="76"/>
      <c r="E12" s="76"/>
      <c r="F12" s="76"/>
      <c r="G12" s="76"/>
      <c r="H12" s="76"/>
      <c r="I12" s="76"/>
      <c r="J12" s="76"/>
      <c r="K12" s="245"/>
      <c r="L12" s="246"/>
    </row>
    <row r="13" spans="1:12" s="77" customFormat="1" ht="30" customHeight="1">
      <c r="A13" s="267" t="s">
        <v>258</v>
      </c>
      <c r="B13" s="75"/>
      <c r="C13" s="76"/>
      <c r="D13" s="76"/>
      <c r="E13" s="76"/>
      <c r="F13" s="76"/>
      <c r="G13" s="76"/>
      <c r="H13" s="76"/>
      <c r="I13" s="76"/>
      <c r="J13" s="76"/>
      <c r="K13" s="245"/>
      <c r="L13" s="246"/>
    </row>
    <row r="14" spans="1:12" s="77" customFormat="1" ht="30" customHeight="1">
      <c r="A14" s="267" t="s">
        <v>265</v>
      </c>
      <c r="B14" s="75"/>
      <c r="C14" s="76"/>
      <c r="D14" s="76"/>
      <c r="E14" s="76"/>
      <c r="F14" s="76"/>
      <c r="G14" s="76"/>
      <c r="H14" s="76"/>
      <c r="I14" s="76"/>
      <c r="J14" s="76"/>
      <c r="K14" s="245"/>
      <c r="L14" s="246"/>
    </row>
    <row r="15" spans="1:12" s="77" customFormat="1" ht="30" customHeight="1">
      <c r="A15" s="267" t="s">
        <v>266</v>
      </c>
      <c r="B15" s="75"/>
      <c r="C15" s="76"/>
      <c r="D15" s="76"/>
      <c r="E15" s="76"/>
      <c r="F15" s="76"/>
      <c r="G15" s="76"/>
      <c r="H15" s="76"/>
      <c r="I15" s="76"/>
      <c r="J15" s="76"/>
      <c r="K15" s="245"/>
      <c r="L15" s="246"/>
    </row>
    <row r="16" spans="1:12" s="77" customFormat="1" ht="30" customHeight="1">
      <c r="A16" s="267" t="s">
        <v>267</v>
      </c>
      <c r="B16" s="75"/>
      <c r="C16" s="76"/>
      <c r="D16" s="76"/>
      <c r="E16" s="76"/>
      <c r="F16" s="76"/>
      <c r="G16" s="76"/>
      <c r="H16" s="76"/>
      <c r="I16" s="76"/>
      <c r="J16" s="76"/>
      <c r="K16" s="245"/>
      <c r="L16" s="246"/>
    </row>
    <row r="17" spans="1:12" s="77" customFormat="1" ht="30" customHeight="1">
      <c r="A17" s="267" t="s">
        <v>268</v>
      </c>
      <c r="B17" s="75"/>
      <c r="C17" s="76"/>
      <c r="D17" s="76"/>
      <c r="E17" s="76"/>
      <c r="F17" s="76"/>
      <c r="G17" s="76"/>
      <c r="H17" s="76"/>
      <c r="I17" s="76"/>
      <c r="J17" s="76"/>
      <c r="K17" s="245"/>
      <c r="L17" s="246"/>
    </row>
    <row r="18" spans="1:12" s="77" customFormat="1" ht="30" customHeight="1">
      <c r="A18" s="267" t="s">
        <v>269</v>
      </c>
      <c r="B18" s="75"/>
      <c r="C18" s="76"/>
      <c r="D18" s="76"/>
      <c r="E18" s="76"/>
      <c r="F18" s="76"/>
      <c r="G18" s="76"/>
      <c r="H18" s="76"/>
      <c r="I18" s="76"/>
      <c r="J18" s="76"/>
      <c r="K18" s="245"/>
      <c r="L18" s="246"/>
    </row>
    <row r="19" spans="1:12" s="77" customFormat="1" ht="30" customHeight="1">
      <c r="A19" s="267" t="s">
        <v>390</v>
      </c>
      <c r="B19" s="75"/>
      <c r="C19" s="76"/>
      <c r="D19" s="76"/>
      <c r="E19" s="76"/>
      <c r="F19" s="76"/>
      <c r="G19" s="76"/>
      <c r="H19" s="76"/>
      <c r="I19" s="76"/>
      <c r="J19" s="76"/>
      <c r="K19" s="245"/>
      <c r="L19" s="246"/>
    </row>
    <row r="20" spans="1:12" s="77" customFormat="1" ht="30" customHeight="1">
      <c r="A20" s="267" t="s">
        <v>391</v>
      </c>
      <c r="B20" s="75"/>
      <c r="C20" s="76"/>
      <c r="D20" s="76"/>
      <c r="E20" s="76"/>
      <c r="F20" s="76"/>
      <c r="G20" s="76"/>
      <c r="H20" s="76"/>
      <c r="I20" s="76"/>
      <c r="J20" s="76"/>
      <c r="K20" s="245"/>
      <c r="L20" s="246"/>
    </row>
    <row r="21" spans="1:12" s="77" customFormat="1" ht="30" customHeight="1">
      <c r="A21" s="267" t="s">
        <v>392</v>
      </c>
      <c r="B21" s="75"/>
      <c r="C21" s="76"/>
      <c r="D21" s="76"/>
      <c r="E21" s="76"/>
      <c r="F21" s="76"/>
      <c r="G21" s="76"/>
      <c r="H21" s="76"/>
      <c r="I21" s="76"/>
      <c r="J21" s="76"/>
      <c r="K21" s="245"/>
      <c r="L21" s="246"/>
    </row>
    <row r="22" spans="1:12" s="77" customFormat="1" ht="30" customHeight="1">
      <c r="A22" s="267" t="s">
        <v>393</v>
      </c>
      <c r="B22" s="75"/>
      <c r="C22" s="76"/>
      <c r="D22" s="76"/>
      <c r="E22" s="76"/>
      <c r="F22" s="76"/>
      <c r="G22" s="76"/>
      <c r="H22" s="76"/>
      <c r="I22" s="76"/>
      <c r="J22" s="76"/>
      <c r="K22" s="245"/>
      <c r="L22" s="246"/>
    </row>
    <row r="23" spans="1:12" s="77" customFormat="1" ht="30" customHeight="1">
      <c r="A23" s="267" t="s">
        <v>394</v>
      </c>
      <c r="B23" s="75"/>
      <c r="C23" s="76"/>
      <c r="D23" s="76"/>
      <c r="E23" s="76"/>
      <c r="F23" s="76"/>
      <c r="G23" s="76"/>
      <c r="H23" s="76"/>
      <c r="I23" s="76"/>
      <c r="J23" s="76"/>
      <c r="K23" s="245"/>
      <c r="L23" s="246"/>
    </row>
    <row r="24" spans="1:12" s="77" customFormat="1" ht="30" customHeight="1">
      <c r="A24" s="267" t="s">
        <v>395</v>
      </c>
      <c r="B24" s="75"/>
      <c r="C24" s="76"/>
      <c r="D24" s="76"/>
      <c r="E24" s="76"/>
      <c r="F24" s="76"/>
      <c r="G24" s="76"/>
      <c r="H24" s="76"/>
      <c r="I24" s="76"/>
      <c r="J24" s="76"/>
      <c r="K24" s="245"/>
      <c r="L24" s="246"/>
    </row>
    <row r="25" spans="1:12" s="77" customFormat="1" ht="30" customHeight="1">
      <c r="A25" s="267" t="s">
        <v>270</v>
      </c>
      <c r="B25" s="75"/>
      <c r="C25" s="76"/>
      <c r="D25" s="76"/>
      <c r="E25" s="76"/>
      <c r="F25" s="76"/>
      <c r="G25" s="76"/>
      <c r="H25" s="76"/>
      <c r="I25" s="76"/>
      <c r="J25" s="76"/>
      <c r="K25" s="245"/>
      <c r="L25" s="246"/>
    </row>
    <row r="26" spans="1:12" s="77" customFormat="1" ht="30" customHeight="1">
      <c r="A26" s="267" t="s">
        <v>271</v>
      </c>
      <c r="B26" s="75"/>
      <c r="C26" s="76"/>
      <c r="D26" s="76"/>
      <c r="E26" s="76"/>
      <c r="F26" s="76"/>
      <c r="G26" s="76"/>
      <c r="H26" s="76"/>
      <c r="I26" s="76"/>
      <c r="J26" s="76"/>
      <c r="K26" s="245"/>
      <c r="L26" s="246"/>
    </row>
    <row r="27" spans="1:12" s="77" customFormat="1" ht="30" customHeight="1">
      <c r="A27" s="267" t="s">
        <v>259</v>
      </c>
      <c r="B27" s="75"/>
      <c r="C27" s="76"/>
      <c r="D27" s="76"/>
      <c r="E27" s="76"/>
      <c r="F27" s="76"/>
      <c r="G27" s="76"/>
      <c r="H27" s="76"/>
      <c r="I27" s="76"/>
      <c r="J27" s="76"/>
      <c r="K27" s="245"/>
      <c r="L27" s="246"/>
    </row>
    <row r="28" spans="1:12" s="77" customFormat="1" ht="30" customHeight="1">
      <c r="A28" s="267" t="s">
        <v>272</v>
      </c>
      <c r="B28" s="75"/>
      <c r="C28" s="76"/>
      <c r="D28" s="76"/>
      <c r="E28" s="76"/>
      <c r="F28" s="76"/>
      <c r="G28" s="76"/>
      <c r="H28" s="76"/>
      <c r="I28" s="76"/>
      <c r="J28" s="76"/>
      <c r="K28" s="245"/>
      <c r="L28" s="246"/>
    </row>
    <row r="29" spans="1:12" s="77" customFormat="1" ht="30" customHeight="1">
      <c r="A29" s="267" t="s">
        <v>273</v>
      </c>
      <c r="B29" s="75"/>
      <c r="C29" s="76"/>
      <c r="D29" s="76"/>
      <c r="E29" s="76"/>
      <c r="F29" s="76"/>
      <c r="G29" s="76"/>
      <c r="H29" s="76"/>
      <c r="I29" s="76"/>
      <c r="J29" s="76"/>
      <c r="K29" s="245"/>
      <c r="L29" s="246"/>
    </row>
    <row r="30" spans="1:12" s="77" customFormat="1" ht="30" customHeight="1">
      <c r="A30" s="267" t="s">
        <v>274</v>
      </c>
      <c r="B30" s="75"/>
      <c r="C30" s="76"/>
      <c r="D30" s="76"/>
      <c r="E30" s="76"/>
      <c r="F30" s="76"/>
      <c r="G30" s="76"/>
      <c r="H30" s="76"/>
      <c r="I30" s="76"/>
      <c r="J30" s="76"/>
      <c r="K30" s="245"/>
      <c r="L30" s="246"/>
    </row>
    <row r="31" spans="1:12" s="77" customFormat="1" ht="30" customHeight="1">
      <c r="A31" s="267" t="s">
        <v>275</v>
      </c>
      <c r="B31" s="75"/>
      <c r="C31" s="76"/>
      <c r="D31" s="76"/>
      <c r="E31" s="76"/>
      <c r="F31" s="76"/>
      <c r="G31" s="76"/>
      <c r="H31" s="76"/>
      <c r="I31" s="76"/>
      <c r="J31" s="76"/>
      <c r="K31" s="245"/>
      <c r="L31" s="246"/>
    </row>
    <row r="32" spans="1:12" s="77" customFormat="1" ht="30" customHeight="1">
      <c r="A32" s="267" t="s">
        <v>276</v>
      </c>
      <c r="B32" s="75"/>
      <c r="C32" s="76"/>
      <c r="D32" s="76"/>
      <c r="E32" s="76"/>
      <c r="F32" s="76"/>
      <c r="G32" s="76"/>
      <c r="H32" s="76"/>
      <c r="I32" s="76"/>
      <c r="J32" s="76"/>
      <c r="K32" s="245"/>
      <c r="L32" s="246"/>
    </row>
    <row r="33" spans="1:12" s="77" customFormat="1" ht="30" customHeight="1">
      <c r="A33" s="267" t="s">
        <v>277</v>
      </c>
      <c r="B33" s="75"/>
      <c r="C33" s="76"/>
      <c r="D33" s="76"/>
      <c r="E33" s="76"/>
      <c r="F33" s="76"/>
      <c r="G33" s="76"/>
      <c r="H33" s="76"/>
      <c r="I33" s="76"/>
      <c r="J33" s="76"/>
      <c r="K33" s="245"/>
      <c r="L33" s="246"/>
    </row>
    <row r="34" spans="1:12" s="77" customFormat="1" ht="30" customHeight="1">
      <c r="A34" s="267" t="s">
        <v>278</v>
      </c>
      <c r="B34" s="75"/>
      <c r="C34" s="76"/>
      <c r="D34" s="76"/>
      <c r="E34" s="76"/>
      <c r="F34" s="76"/>
      <c r="G34" s="76"/>
      <c r="H34" s="76"/>
      <c r="I34" s="76"/>
      <c r="J34" s="76"/>
      <c r="K34" s="245"/>
      <c r="L34" s="246"/>
    </row>
    <row r="35" spans="1:12" s="77" customFormat="1" ht="30" customHeight="1">
      <c r="A35" s="267" t="s">
        <v>279</v>
      </c>
      <c r="B35" s="75"/>
      <c r="C35" s="76"/>
      <c r="D35" s="76"/>
      <c r="E35" s="76"/>
      <c r="F35" s="76"/>
      <c r="G35" s="76"/>
      <c r="H35" s="76"/>
      <c r="I35" s="76"/>
      <c r="J35" s="76"/>
      <c r="K35" s="245"/>
      <c r="L35" s="246"/>
    </row>
    <row r="36" spans="1:12" s="77" customFormat="1" ht="30" customHeight="1">
      <c r="A36" s="267" t="s">
        <v>280</v>
      </c>
      <c r="B36" s="75"/>
      <c r="C36" s="76"/>
      <c r="D36" s="76"/>
      <c r="E36" s="76"/>
      <c r="F36" s="76"/>
      <c r="G36" s="76"/>
      <c r="H36" s="76"/>
      <c r="I36" s="76"/>
      <c r="J36" s="76"/>
      <c r="K36" s="245"/>
      <c r="L36" s="246"/>
    </row>
    <row r="37" spans="1:12" s="77" customFormat="1" ht="30" customHeight="1">
      <c r="A37" s="267" t="s">
        <v>281</v>
      </c>
      <c r="B37" s="75"/>
      <c r="C37" s="76"/>
      <c r="D37" s="76"/>
      <c r="E37" s="76"/>
      <c r="F37" s="76"/>
      <c r="G37" s="76"/>
      <c r="H37" s="76"/>
      <c r="I37" s="76"/>
      <c r="J37" s="76"/>
      <c r="K37" s="245"/>
      <c r="L37" s="246"/>
    </row>
    <row r="38" spans="1:12" s="77" customFormat="1" ht="30" customHeight="1">
      <c r="A38" s="267" t="s">
        <v>282</v>
      </c>
      <c r="B38" s="75"/>
      <c r="C38" s="76"/>
      <c r="D38" s="76"/>
      <c r="E38" s="76"/>
      <c r="F38" s="76"/>
      <c r="G38" s="76"/>
      <c r="H38" s="76"/>
      <c r="I38" s="76"/>
      <c r="J38" s="76"/>
      <c r="K38" s="245"/>
      <c r="L38" s="246"/>
    </row>
    <row r="39" spans="1:12" s="77" customFormat="1" ht="30" customHeight="1">
      <c r="A39" s="267" t="s">
        <v>250</v>
      </c>
      <c r="B39" s="75"/>
      <c r="C39" s="76"/>
      <c r="D39" s="76"/>
      <c r="E39" s="76"/>
      <c r="F39" s="76"/>
      <c r="G39" s="76"/>
      <c r="H39" s="76"/>
      <c r="I39" s="76"/>
      <c r="J39" s="76"/>
      <c r="K39" s="245"/>
      <c r="L39" s="246"/>
    </row>
    <row r="40" spans="1:12" s="77" customFormat="1" ht="30" customHeight="1">
      <c r="A40" s="267" t="s">
        <v>283</v>
      </c>
      <c r="B40" s="75"/>
      <c r="C40" s="76"/>
      <c r="D40" s="76"/>
      <c r="E40" s="76"/>
      <c r="F40" s="76"/>
      <c r="G40" s="76"/>
      <c r="H40" s="76"/>
      <c r="I40" s="76"/>
      <c r="J40" s="76"/>
      <c r="K40" s="245"/>
      <c r="L40" s="246"/>
    </row>
    <row r="41" spans="1:12" ht="30" customHeight="1">
      <c r="A41" s="264" t="s">
        <v>284</v>
      </c>
      <c r="B41" s="75"/>
      <c r="C41" s="76"/>
      <c r="D41" s="76"/>
      <c r="E41" s="76"/>
      <c r="F41" s="76"/>
      <c r="G41" s="76"/>
      <c r="H41" s="76"/>
      <c r="I41" s="76"/>
      <c r="J41" s="76"/>
      <c r="K41" s="248"/>
      <c r="L41" s="246"/>
    </row>
    <row r="42" spans="1:12" ht="30" customHeight="1">
      <c r="A42" s="264" t="s">
        <v>285</v>
      </c>
      <c r="B42" s="75"/>
      <c r="C42" s="78"/>
      <c r="D42" s="78"/>
      <c r="E42" s="78"/>
      <c r="F42" s="78"/>
      <c r="G42" s="78"/>
      <c r="H42" s="78"/>
      <c r="I42" s="78"/>
      <c r="J42" s="78"/>
      <c r="K42" s="248"/>
      <c r="L42" s="246"/>
    </row>
    <row r="43" spans="1:12" ht="30" customHeight="1">
      <c r="A43" s="264" t="s">
        <v>286</v>
      </c>
      <c r="B43" s="75"/>
      <c r="C43" s="76"/>
      <c r="D43" s="76"/>
      <c r="E43" s="76"/>
      <c r="F43" s="76"/>
      <c r="G43" s="76"/>
      <c r="H43" s="76"/>
      <c r="I43" s="76"/>
      <c r="J43" s="76"/>
      <c r="K43" s="248"/>
      <c r="L43" s="246"/>
    </row>
    <row r="44" spans="1:12" ht="30" customHeight="1">
      <c r="A44" s="264" t="s">
        <v>287</v>
      </c>
      <c r="B44" s="75"/>
      <c r="C44" s="76"/>
      <c r="D44" s="76"/>
      <c r="E44" s="76"/>
      <c r="F44" s="76"/>
      <c r="G44" s="76"/>
      <c r="H44" s="76"/>
      <c r="I44" s="76"/>
      <c r="J44" s="76"/>
      <c r="K44" s="248"/>
      <c r="L44" s="246"/>
    </row>
    <row r="45" spans="1:12" ht="30" customHeight="1">
      <c r="A45" s="264" t="s">
        <v>251</v>
      </c>
      <c r="B45" s="75"/>
      <c r="C45" s="76"/>
      <c r="D45" s="76"/>
      <c r="E45" s="76"/>
      <c r="F45" s="76"/>
      <c r="G45" s="76"/>
      <c r="H45" s="76"/>
      <c r="I45" s="76"/>
      <c r="J45" s="76"/>
      <c r="K45" s="248"/>
      <c r="L45" s="246"/>
    </row>
    <row r="46" spans="1:12" ht="30" customHeight="1">
      <c r="A46" s="264" t="s">
        <v>288</v>
      </c>
      <c r="B46" s="75"/>
      <c r="C46" s="76"/>
      <c r="D46" s="76"/>
      <c r="E46" s="76"/>
      <c r="F46" s="76"/>
      <c r="G46" s="76"/>
      <c r="H46" s="76"/>
      <c r="I46" s="76"/>
      <c r="J46" s="76"/>
      <c r="K46" s="248"/>
      <c r="L46" s="246"/>
    </row>
    <row r="47" spans="1:12" ht="30" customHeight="1">
      <c r="A47" s="264" t="s">
        <v>252</v>
      </c>
      <c r="B47" s="75"/>
      <c r="C47" s="76"/>
      <c r="D47" s="76"/>
      <c r="E47" s="76"/>
      <c r="F47" s="76"/>
      <c r="G47" s="76"/>
      <c r="H47" s="76"/>
      <c r="I47" s="76"/>
      <c r="J47" s="76"/>
      <c r="K47" s="248"/>
      <c r="L47" s="246"/>
    </row>
    <row r="48" spans="1:12" ht="30" customHeight="1">
      <c r="A48" s="264" t="s">
        <v>289</v>
      </c>
      <c r="B48" s="75"/>
      <c r="C48" s="76"/>
      <c r="D48" s="76"/>
      <c r="E48" s="76"/>
      <c r="F48" s="76"/>
      <c r="G48" s="76"/>
      <c r="H48" s="76"/>
      <c r="I48" s="76"/>
      <c r="J48" s="76"/>
      <c r="K48" s="248"/>
      <c r="L48" s="246"/>
    </row>
    <row r="49" spans="1:12" ht="30" customHeight="1">
      <c r="A49" s="264" t="s">
        <v>253</v>
      </c>
      <c r="B49" s="75"/>
      <c r="C49" s="76"/>
      <c r="D49" s="76"/>
      <c r="E49" s="76"/>
      <c r="F49" s="76"/>
      <c r="G49" s="76"/>
      <c r="H49" s="76"/>
      <c r="I49" s="76"/>
      <c r="J49" s="76"/>
      <c r="K49" s="248"/>
      <c r="L49" s="246"/>
    </row>
    <row r="50" spans="1:12" ht="30" customHeight="1">
      <c r="A50" s="264" t="s">
        <v>290</v>
      </c>
      <c r="B50" s="75"/>
      <c r="C50" s="76"/>
      <c r="D50" s="76"/>
      <c r="E50" s="76"/>
      <c r="F50" s="76"/>
      <c r="G50" s="76"/>
      <c r="H50" s="76"/>
      <c r="I50" s="76"/>
      <c r="J50" s="76"/>
      <c r="K50" s="248"/>
      <c r="L50" s="246"/>
    </row>
    <row r="51" spans="1:12" ht="30" customHeight="1">
      <c r="A51" s="264" t="s">
        <v>291</v>
      </c>
      <c r="B51" s="75"/>
      <c r="C51" s="76"/>
      <c r="D51" s="76"/>
      <c r="E51" s="76"/>
      <c r="F51" s="76"/>
      <c r="G51" s="76"/>
      <c r="H51" s="76"/>
      <c r="I51" s="76"/>
      <c r="J51" s="76"/>
      <c r="K51" s="248"/>
      <c r="L51" s="246"/>
    </row>
    <row r="52" spans="1:12" ht="30" customHeight="1">
      <c r="A52" s="264" t="s">
        <v>292</v>
      </c>
      <c r="B52" s="75"/>
      <c r="C52" s="76"/>
      <c r="D52" s="76"/>
      <c r="E52" s="76"/>
      <c r="F52" s="76"/>
      <c r="G52" s="76"/>
      <c r="H52" s="76"/>
      <c r="I52" s="76"/>
      <c r="J52" s="76"/>
      <c r="K52" s="248"/>
      <c r="L52" s="246"/>
    </row>
    <row r="53" spans="1:12" ht="30" customHeight="1">
      <c r="A53" s="264" t="s">
        <v>293</v>
      </c>
      <c r="B53" s="75"/>
      <c r="C53" s="76"/>
      <c r="D53" s="76"/>
      <c r="E53" s="76"/>
      <c r="F53" s="76"/>
      <c r="G53" s="76"/>
      <c r="H53" s="76"/>
      <c r="I53" s="76"/>
      <c r="J53" s="76"/>
      <c r="K53" s="248"/>
      <c r="L53" s="246"/>
    </row>
    <row r="54" spans="1:12" ht="30" customHeight="1">
      <c r="A54" s="264" t="s">
        <v>294</v>
      </c>
      <c r="B54" s="75"/>
      <c r="C54" s="76"/>
      <c r="D54" s="76"/>
      <c r="E54" s="76"/>
      <c r="F54" s="76"/>
      <c r="G54" s="76"/>
      <c r="H54" s="76"/>
      <c r="I54" s="76"/>
      <c r="J54" s="76"/>
      <c r="K54" s="248"/>
      <c r="L54" s="246"/>
    </row>
    <row r="55" spans="1:12" ht="30" customHeight="1">
      <c r="A55" s="264" t="s">
        <v>295</v>
      </c>
      <c r="B55" s="75"/>
      <c r="C55" s="76"/>
      <c r="D55" s="76"/>
      <c r="E55" s="76"/>
      <c r="F55" s="76"/>
      <c r="G55" s="76"/>
      <c r="H55" s="76"/>
      <c r="I55" s="76"/>
      <c r="J55" s="76"/>
      <c r="K55" s="248"/>
      <c r="L55" s="246"/>
    </row>
    <row r="56" spans="1:12" ht="30" customHeight="1">
      <c r="A56" s="264" t="s">
        <v>296</v>
      </c>
      <c r="B56" s="75"/>
      <c r="C56" s="76"/>
      <c r="D56" s="76"/>
      <c r="E56" s="76"/>
      <c r="F56" s="76"/>
      <c r="G56" s="76"/>
      <c r="H56" s="76"/>
      <c r="I56" s="76"/>
      <c r="J56" s="76"/>
      <c r="K56" s="248"/>
      <c r="L56" s="246"/>
    </row>
    <row r="57" spans="1:12" ht="30" customHeight="1">
      <c r="A57" s="264" t="s">
        <v>297</v>
      </c>
      <c r="B57" s="75"/>
      <c r="C57" s="76"/>
      <c r="D57" s="76"/>
      <c r="E57" s="76"/>
      <c r="F57" s="76"/>
      <c r="G57" s="76"/>
      <c r="H57" s="76"/>
      <c r="I57" s="76"/>
      <c r="J57" s="76"/>
      <c r="K57" s="248"/>
      <c r="L57" s="246"/>
    </row>
    <row r="58" spans="1:12" ht="30" customHeight="1">
      <c r="A58" s="264" t="s">
        <v>298</v>
      </c>
      <c r="B58" s="75"/>
      <c r="C58" s="76"/>
      <c r="D58" s="76"/>
      <c r="E58" s="76"/>
      <c r="F58" s="76"/>
      <c r="G58" s="76"/>
      <c r="H58" s="76"/>
      <c r="I58" s="76"/>
      <c r="J58" s="76"/>
      <c r="K58" s="248"/>
      <c r="L58" s="246"/>
    </row>
    <row r="59" spans="1:12" ht="30" customHeight="1">
      <c r="A59" s="264" t="s">
        <v>299</v>
      </c>
      <c r="B59" s="75"/>
      <c r="C59" s="76"/>
      <c r="D59" s="76"/>
      <c r="E59" s="76"/>
      <c r="F59" s="76"/>
      <c r="G59" s="76"/>
      <c r="H59" s="76"/>
      <c r="I59" s="76"/>
      <c r="J59" s="76"/>
      <c r="K59" s="248"/>
      <c r="L59" s="246"/>
    </row>
    <row r="60" spans="1:12" ht="30" customHeight="1">
      <c r="A60" s="264" t="s">
        <v>300</v>
      </c>
      <c r="B60" s="75"/>
      <c r="C60" s="76"/>
      <c r="D60" s="76"/>
      <c r="E60" s="76"/>
      <c r="F60" s="76"/>
      <c r="G60" s="76"/>
      <c r="H60" s="76"/>
      <c r="I60" s="76"/>
      <c r="J60" s="76"/>
      <c r="K60" s="248"/>
      <c r="L60" s="246"/>
    </row>
    <row r="61" spans="1:12" ht="30" customHeight="1">
      <c r="A61" s="264" t="s">
        <v>301</v>
      </c>
      <c r="B61" s="75"/>
      <c r="C61" s="76"/>
      <c r="D61" s="76"/>
      <c r="E61" s="76"/>
      <c r="F61" s="76"/>
      <c r="G61" s="76"/>
      <c r="H61" s="76"/>
      <c r="I61" s="76"/>
      <c r="J61" s="76"/>
      <c r="K61" s="248"/>
      <c r="L61" s="246"/>
    </row>
    <row r="62" spans="1:12" ht="30" customHeight="1">
      <c r="A62" s="264" t="s">
        <v>302</v>
      </c>
      <c r="B62" s="75"/>
      <c r="C62" s="76"/>
      <c r="D62" s="76"/>
      <c r="E62" s="76"/>
      <c r="F62" s="76"/>
      <c r="G62" s="76"/>
      <c r="H62" s="76"/>
      <c r="I62" s="76"/>
      <c r="J62" s="76"/>
      <c r="K62" s="248"/>
      <c r="L62" s="246"/>
    </row>
    <row r="63" spans="1:12" ht="30" customHeight="1">
      <c r="A63" s="264" t="s">
        <v>303</v>
      </c>
      <c r="B63" s="75"/>
      <c r="C63" s="76"/>
      <c r="D63" s="76"/>
      <c r="E63" s="76"/>
      <c r="F63" s="76"/>
      <c r="G63" s="76"/>
      <c r="H63" s="76"/>
      <c r="I63" s="76"/>
      <c r="J63" s="76"/>
      <c r="K63" s="248"/>
      <c r="L63" s="246"/>
    </row>
    <row r="64" spans="1:12" ht="30" customHeight="1">
      <c r="A64" s="264" t="s">
        <v>304</v>
      </c>
      <c r="B64" s="75"/>
      <c r="C64" s="76"/>
      <c r="D64" s="76"/>
      <c r="E64" s="76"/>
      <c r="F64" s="76"/>
      <c r="G64" s="76"/>
      <c r="H64" s="76"/>
      <c r="I64" s="76"/>
      <c r="J64" s="76"/>
      <c r="K64" s="248"/>
      <c r="L64" s="246"/>
    </row>
    <row r="65" spans="1:12" ht="30" customHeight="1">
      <c r="A65" s="264" t="s">
        <v>305</v>
      </c>
      <c r="B65" s="75"/>
      <c r="C65" s="76"/>
      <c r="D65" s="76"/>
      <c r="E65" s="76"/>
      <c r="F65" s="76"/>
      <c r="G65" s="76"/>
      <c r="H65" s="76"/>
      <c r="I65" s="76"/>
      <c r="J65" s="76"/>
      <c r="K65" s="248"/>
      <c r="L65" s="246"/>
    </row>
    <row r="66" spans="1:12" ht="30" customHeight="1">
      <c r="A66" s="264" t="s">
        <v>306</v>
      </c>
      <c r="B66" s="75"/>
      <c r="C66" s="76"/>
      <c r="D66" s="76"/>
      <c r="E66" s="76"/>
      <c r="F66" s="76"/>
      <c r="G66" s="76"/>
      <c r="H66" s="76"/>
      <c r="I66" s="76"/>
      <c r="J66" s="76"/>
      <c r="K66" s="248"/>
      <c r="L66" s="246"/>
    </row>
    <row r="67" spans="1:12" ht="30" customHeight="1">
      <c r="A67" s="264" t="s">
        <v>307</v>
      </c>
      <c r="B67" s="75"/>
      <c r="C67" s="76"/>
      <c r="D67" s="76"/>
      <c r="E67" s="76"/>
      <c r="F67" s="76"/>
      <c r="G67" s="76"/>
      <c r="H67" s="76"/>
      <c r="I67" s="76"/>
      <c r="J67" s="76"/>
      <c r="K67" s="248"/>
      <c r="L67" s="246"/>
    </row>
    <row r="68" spans="1:12" ht="30" customHeight="1">
      <c r="A68" s="264" t="s">
        <v>254</v>
      </c>
      <c r="B68" s="75"/>
      <c r="C68" s="76"/>
      <c r="D68" s="76"/>
      <c r="E68" s="76"/>
      <c r="F68" s="76"/>
      <c r="G68" s="76"/>
      <c r="H68" s="76"/>
      <c r="I68" s="76"/>
      <c r="J68" s="76"/>
      <c r="K68" s="248"/>
      <c r="L68" s="246"/>
    </row>
    <row r="69" spans="1:12" ht="30" customHeight="1">
      <c r="A69" s="264" t="s">
        <v>328</v>
      </c>
      <c r="B69" s="75"/>
      <c r="C69" s="76"/>
      <c r="D69" s="76"/>
      <c r="E69" s="76"/>
      <c r="F69" s="76"/>
      <c r="G69" s="76"/>
      <c r="H69" s="76"/>
      <c r="I69" s="76"/>
      <c r="J69" s="76"/>
      <c r="K69" s="248"/>
      <c r="L69" s="246"/>
    </row>
    <row r="70" spans="1:12" ht="30" customHeight="1">
      <c r="A70" s="264" t="s">
        <v>329</v>
      </c>
      <c r="B70" s="75"/>
      <c r="C70" s="76"/>
      <c r="D70" s="76"/>
      <c r="E70" s="76"/>
      <c r="F70" s="76"/>
      <c r="G70" s="76"/>
      <c r="H70" s="76"/>
      <c r="I70" s="76"/>
      <c r="J70" s="76"/>
      <c r="K70" s="248"/>
      <c r="L70" s="246"/>
    </row>
    <row r="71" spans="1:12" ht="30" customHeight="1">
      <c r="A71" s="264" t="s">
        <v>383</v>
      </c>
      <c r="B71" s="75"/>
      <c r="C71" s="76"/>
      <c r="D71" s="76"/>
      <c r="E71" s="76"/>
      <c r="F71" s="76"/>
      <c r="G71" s="76"/>
      <c r="H71" s="76"/>
      <c r="I71" s="76"/>
      <c r="J71" s="76"/>
      <c r="K71" s="248"/>
      <c r="L71" s="246"/>
    </row>
    <row r="72" spans="1:12" ht="30" customHeight="1">
      <c r="A72" s="264" t="s">
        <v>384</v>
      </c>
      <c r="B72" s="75"/>
      <c r="C72" s="76"/>
      <c r="D72" s="76"/>
      <c r="E72" s="76"/>
      <c r="F72" s="76"/>
      <c r="G72" s="76"/>
      <c r="H72" s="76"/>
      <c r="I72" s="76"/>
      <c r="J72" s="76"/>
      <c r="K72" s="248"/>
      <c r="L72" s="246"/>
    </row>
    <row r="73" spans="1:12" ht="30" customHeight="1">
      <c r="A73" s="264" t="s">
        <v>385</v>
      </c>
      <c r="B73" s="75"/>
      <c r="C73" s="76"/>
      <c r="D73" s="76"/>
      <c r="E73" s="76"/>
      <c r="F73" s="76"/>
      <c r="G73" s="76"/>
      <c r="H73" s="76"/>
      <c r="I73" s="76"/>
      <c r="J73" s="76"/>
      <c r="K73" s="248"/>
      <c r="L73" s="246"/>
    </row>
    <row r="74" spans="1:12" ht="30" customHeight="1">
      <c r="A74" s="264" t="s">
        <v>386</v>
      </c>
      <c r="B74" s="75"/>
      <c r="C74" s="76"/>
      <c r="D74" s="76"/>
      <c r="E74" s="76"/>
      <c r="F74" s="76"/>
      <c r="G74" s="76"/>
      <c r="H74" s="76"/>
      <c r="I74" s="76"/>
      <c r="J74" s="76"/>
      <c r="K74" s="248"/>
      <c r="L74" s="246"/>
    </row>
    <row r="75" spans="1:12" ht="30" customHeight="1">
      <c r="A75" s="268" t="s">
        <v>403</v>
      </c>
      <c r="B75" s="75"/>
      <c r="C75" s="76"/>
      <c r="D75" s="76"/>
      <c r="E75" s="76"/>
      <c r="F75" s="76"/>
      <c r="G75" s="76"/>
      <c r="H75" s="76"/>
      <c r="I75" s="76"/>
      <c r="J75" s="76"/>
      <c r="K75" s="248"/>
      <c r="L75" s="246"/>
    </row>
    <row r="76" spans="1:12" ht="30" customHeight="1">
      <c r="A76" s="268" t="s">
        <v>404</v>
      </c>
      <c r="B76" s="75"/>
      <c r="C76" s="76"/>
      <c r="D76" s="76"/>
      <c r="E76" s="76"/>
      <c r="F76" s="76"/>
      <c r="G76" s="76"/>
      <c r="H76" s="76"/>
      <c r="I76" s="76"/>
      <c r="J76" s="76"/>
      <c r="K76" s="248"/>
      <c r="L76" s="246"/>
    </row>
    <row r="77" spans="1:12" ht="30" customHeight="1">
      <c r="A77" s="268" t="s">
        <v>405</v>
      </c>
      <c r="B77" s="75"/>
      <c r="C77" s="76"/>
      <c r="D77" s="76"/>
      <c r="E77" s="76"/>
      <c r="F77" s="76"/>
      <c r="G77" s="76"/>
      <c r="H77" s="76"/>
      <c r="I77" s="76"/>
      <c r="J77" s="76"/>
      <c r="K77" s="248"/>
      <c r="L77" s="246"/>
    </row>
    <row r="78" spans="1:12" ht="30" customHeight="1">
      <c r="A78" s="268" t="s">
        <v>406</v>
      </c>
      <c r="B78" s="75"/>
      <c r="C78" s="76"/>
      <c r="D78" s="76"/>
      <c r="E78" s="76"/>
      <c r="F78" s="76"/>
      <c r="G78" s="76"/>
      <c r="H78" s="76"/>
      <c r="I78" s="76"/>
      <c r="J78" s="76"/>
      <c r="K78" s="248"/>
      <c r="L78" s="246"/>
    </row>
    <row r="79" spans="1:12" ht="30" customHeight="1">
      <c r="A79" s="268" t="s">
        <v>407</v>
      </c>
      <c r="B79" s="75"/>
      <c r="C79" s="76"/>
      <c r="D79" s="76"/>
      <c r="E79" s="76"/>
      <c r="F79" s="76"/>
      <c r="G79" s="76"/>
      <c r="H79" s="76"/>
      <c r="I79" s="76"/>
      <c r="J79" s="76"/>
      <c r="K79" s="248"/>
      <c r="L79" s="246"/>
    </row>
    <row r="80" spans="1:12" ht="30" customHeight="1">
      <c r="A80" s="269" t="s">
        <v>408</v>
      </c>
      <c r="B80" s="75"/>
      <c r="C80" s="76"/>
      <c r="D80" s="76"/>
      <c r="E80" s="76"/>
      <c r="F80" s="76"/>
      <c r="G80" s="76"/>
      <c r="H80" s="76"/>
      <c r="I80" s="76"/>
      <c r="J80" s="76"/>
      <c r="K80" s="248"/>
      <c r="L80" s="246"/>
    </row>
    <row r="81" spans="1:12" ht="38.1" customHeight="1">
      <c r="A81" s="249"/>
      <c r="B81" s="75"/>
      <c r="C81" s="76"/>
      <c r="D81" s="76"/>
      <c r="E81" s="76"/>
      <c r="F81" s="76"/>
      <c r="G81" s="76"/>
      <c r="H81" s="76"/>
      <c r="I81" s="76"/>
      <c r="J81" s="76"/>
      <c r="K81" s="248"/>
      <c r="L81" s="246"/>
    </row>
    <row r="82" spans="1:12" ht="38.1" customHeight="1">
      <c r="A82" s="249"/>
      <c r="B82" s="75"/>
      <c r="C82" s="76"/>
      <c r="D82" s="76"/>
      <c r="E82" s="76"/>
      <c r="F82" s="76"/>
      <c r="G82" s="76"/>
      <c r="H82" s="76"/>
      <c r="I82" s="76"/>
      <c r="J82" s="76"/>
      <c r="K82" s="248"/>
      <c r="L82" s="246"/>
    </row>
    <row r="83" spans="1:12" ht="38.1" customHeight="1">
      <c r="A83" s="249"/>
      <c r="B83" s="75"/>
      <c r="C83" s="76"/>
      <c r="D83" s="76"/>
      <c r="E83" s="76"/>
      <c r="F83" s="76"/>
      <c r="G83" s="76"/>
      <c r="H83" s="76"/>
      <c r="I83" s="76"/>
      <c r="J83" s="76"/>
      <c r="K83" s="248"/>
      <c r="L83" s="246"/>
    </row>
    <row r="84" spans="1:12" ht="38.1" customHeight="1">
      <c r="A84" s="249"/>
      <c r="B84" s="75"/>
      <c r="C84" s="76"/>
      <c r="D84" s="76"/>
      <c r="E84" s="76"/>
      <c r="F84" s="76"/>
      <c r="G84" s="76"/>
      <c r="H84" s="76"/>
      <c r="I84" s="76"/>
      <c r="J84" s="76"/>
      <c r="K84" s="248"/>
      <c r="L84" s="246"/>
    </row>
    <row r="85" spans="1:12" ht="39.75" customHeight="1">
      <c r="A85" s="249"/>
      <c r="B85" s="75"/>
      <c r="C85" s="76"/>
      <c r="D85" s="76"/>
      <c r="E85" s="76"/>
      <c r="F85" s="76"/>
      <c r="G85" s="76"/>
      <c r="H85" s="76"/>
      <c r="I85" s="76"/>
      <c r="J85" s="76"/>
      <c r="K85" s="245"/>
      <c r="L85" s="246"/>
    </row>
    <row r="86" spans="1:12" ht="39.75" customHeight="1">
      <c r="A86" s="247"/>
      <c r="B86" s="75"/>
      <c r="C86" s="76"/>
      <c r="D86" s="76"/>
      <c r="E86" s="76"/>
      <c r="F86" s="76"/>
      <c r="G86" s="76"/>
      <c r="H86" s="76"/>
      <c r="I86" s="76"/>
      <c r="J86" s="76"/>
      <c r="K86" s="245"/>
      <c r="L86" s="246"/>
    </row>
    <row r="87" spans="1:12" ht="39.75" customHeight="1">
      <c r="A87" s="167"/>
      <c r="B87" s="75"/>
      <c r="C87" s="76"/>
      <c r="D87" s="76"/>
      <c r="E87" s="76"/>
      <c r="F87" s="76"/>
      <c r="G87" s="76"/>
      <c r="H87" s="76"/>
      <c r="I87" s="76"/>
      <c r="J87" s="76"/>
      <c r="K87" s="248"/>
      <c r="L87" s="246"/>
    </row>
    <row r="88" spans="1:12" ht="39.75" customHeight="1" thickBot="1">
      <c r="A88" s="167"/>
      <c r="B88" s="75"/>
      <c r="C88" s="78"/>
      <c r="D88" s="78"/>
      <c r="E88" s="78"/>
      <c r="F88" s="78"/>
      <c r="G88" s="78"/>
      <c r="H88" s="78"/>
      <c r="I88" s="78"/>
      <c r="J88" s="78"/>
      <c r="K88" s="248"/>
      <c r="L88" s="246"/>
    </row>
    <row r="89" spans="1:12" ht="39" customHeight="1" thickBot="1">
      <c r="A89" s="348" t="s">
        <v>260</v>
      </c>
      <c r="B89" s="349"/>
      <c r="C89" s="349"/>
      <c r="D89" s="349"/>
      <c r="E89" s="349"/>
      <c r="F89" s="349"/>
      <c r="G89" s="349"/>
      <c r="H89" s="349"/>
      <c r="I89" s="349"/>
      <c r="J89" s="349"/>
      <c r="K89" s="350"/>
      <c r="L89" s="351"/>
    </row>
  </sheetData>
  <mergeCells count="7">
    <mergeCell ref="A89:J89"/>
    <mergeCell ref="K89:L89"/>
    <mergeCell ref="A1:K1"/>
    <mergeCell ref="A2:A3"/>
    <mergeCell ref="B2:K2"/>
    <mergeCell ref="L2:L4"/>
    <mergeCell ref="B4:K4"/>
  </mergeCells>
  <pageMargins left="0.70866141732283472" right="0.70866141732283472" top="0.74803149606299213" bottom="0.74803149606299213" header="0.31496062992125984" footer="0.31496062992125984"/>
  <pageSetup paperSize="9" scale="37" fitToHeight="0" orientation="landscape" blackAndWhite="1" r:id="rId1"/>
  <rowBreaks count="2" manualBreakCount="2">
    <brk id="41" max="11" man="1"/>
    <brk id="80" max="11" man="1"/>
  </rowBreaks>
  <colBreaks count="1" manualBreakCount="1">
    <brk id="1" max="79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85C45-41AF-4CE4-BC7D-2E40EF5ECF6C}">
  <sheetPr codeName="Лист3">
    <pageSetUpPr fitToPage="1"/>
  </sheetPr>
  <dimension ref="A1:O92"/>
  <sheetViews>
    <sheetView view="pageBreakPreview" zoomScale="25" zoomScaleNormal="25" zoomScaleSheetLayoutView="25" zoomScalePageLayoutView="10" workbookViewId="0">
      <pane ySplit="4" topLeftCell="A72" activePane="bottomLeft" state="frozen"/>
      <selection pane="bottomLeft" activeCell="C77" sqref="C77"/>
    </sheetView>
  </sheetViews>
  <sheetFormatPr defaultColWidth="24.85546875" defaultRowHeight="15"/>
  <cols>
    <col min="1" max="1" width="255.7109375" bestFit="1" customWidth="1"/>
    <col min="2" max="15" width="70.7109375" customWidth="1"/>
  </cols>
  <sheetData>
    <row r="1" spans="1:15" ht="97.5" customHeight="1" thickBot="1">
      <c r="A1" s="372" t="s">
        <v>316</v>
      </c>
      <c r="B1" s="373"/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4">
        <f ca="1">'Тека ГП'!C4</f>
        <v>46211</v>
      </c>
      <c r="O1" s="375" t="str">
        <f>TEXT('Тека ГП'!D4,"ДДММ")</f>
        <v>0001</v>
      </c>
    </row>
    <row r="2" spans="1:15" ht="66" customHeight="1" thickBot="1">
      <c r="A2" s="372" t="s">
        <v>317</v>
      </c>
      <c r="B2" s="373"/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6"/>
    </row>
    <row r="3" spans="1:15" ht="116.25" customHeight="1" thickBot="1">
      <c r="A3" s="364" t="s">
        <v>248</v>
      </c>
      <c r="B3" s="92"/>
      <c r="C3" s="105"/>
      <c r="D3" s="92"/>
      <c r="E3" s="105"/>
      <c r="F3" s="92"/>
      <c r="G3" s="106"/>
      <c r="H3" s="93"/>
      <c r="I3" s="107"/>
      <c r="J3" s="94"/>
      <c r="K3" s="108"/>
      <c r="L3" s="94"/>
      <c r="M3" s="107"/>
      <c r="N3" s="95"/>
      <c r="O3" s="109"/>
    </row>
    <row r="4" spans="1:15" ht="75.75" customHeight="1" thickBot="1">
      <c r="A4" s="365"/>
      <c r="B4" s="366" t="s">
        <v>314</v>
      </c>
      <c r="C4" s="367"/>
      <c r="D4" s="367"/>
      <c r="E4" s="367"/>
      <c r="F4" s="367"/>
      <c r="G4" s="367"/>
      <c r="H4" s="367"/>
      <c r="I4" s="367"/>
      <c r="J4" s="367"/>
      <c r="K4" s="367"/>
      <c r="L4" s="367"/>
      <c r="M4" s="367"/>
      <c r="N4" s="367"/>
      <c r="O4" s="368"/>
    </row>
    <row r="5" spans="1:15" ht="117.95" customHeight="1">
      <c r="A5" s="270" t="s">
        <v>103</v>
      </c>
      <c r="B5" s="96"/>
      <c r="C5" s="97"/>
      <c r="D5" s="97"/>
      <c r="E5" s="97"/>
      <c r="F5" s="97"/>
      <c r="G5" s="98"/>
      <c r="H5" s="98"/>
      <c r="I5" s="97"/>
      <c r="J5" s="98"/>
      <c r="K5" s="98"/>
      <c r="L5" s="97"/>
      <c r="M5" s="97"/>
      <c r="N5" s="99"/>
      <c r="O5" s="100"/>
    </row>
    <row r="6" spans="1:15" ht="117.95" customHeight="1">
      <c r="A6" s="270" t="s">
        <v>106</v>
      </c>
      <c r="B6" s="101"/>
      <c r="C6" s="76"/>
      <c r="D6" s="76"/>
      <c r="E6" s="76"/>
      <c r="F6" s="76"/>
      <c r="G6" s="102"/>
      <c r="H6" s="102"/>
      <c r="I6" s="76"/>
      <c r="J6" s="102"/>
      <c r="K6" s="102"/>
      <c r="L6" s="76"/>
      <c r="M6" s="76"/>
      <c r="N6" s="78"/>
      <c r="O6" s="103"/>
    </row>
    <row r="7" spans="1:15" ht="117.95" customHeight="1">
      <c r="A7" s="270" t="s">
        <v>117</v>
      </c>
      <c r="B7" s="101"/>
      <c r="C7" s="76"/>
      <c r="D7" s="76"/>
      <c r="E7" s="76"/>
      <c r="F7" s="76"/>
      <c r="G7" s="102"/>
      <c r="H7" s="102"/>
      <c r="I7" s="76"/>
      <c r="J7" s="102"/>
      <c r="K7" s="102"/>
      <c r="L7" s="76"/>
      <c r="M7" s="76"/>
      <c r="N7" s="78"/>
      <c r="O7" s="103"/>
    </row>
    <row r="8" spans="1:15" ht="117.95" customHeight="1">
      <c r="A8" s="270" t="s">
        <v>234</v>
      </c>
      <c r="B8" s="101"/>
      <c r="C8" s="76"/>
      <c r="D8" s="76"/>
      <c r="E8" s="76"/>
      <c r="F8" s="76"/>
      <c r="G8" s="102"/>
      <c r="H8" s="102"/>
      <c r="I8" s="76"/>
      <c r="J8" s="102"/>
      <c r="K8" s="102"/>
      <c r="L8" s="76"/>
      <c r="M8" s="76"/>
      <c r="N8" s="78"/>
      <c r="O8" s="103"/>
    </row>
    <row r="9" spans="1:15" ht="117.95" customHeight="1">
      <c r="A9" s="270" t="s">
        <v>388</v>
      </c>
      <c r="B9" s="101"/>
      <c r="C9" s="76"/>
      <c r="D9" s="76"/>
      <c r="E9" s="76"/>
      <c r="F9" s="76"/>
      <c r="G9" s="102"/>
      <c r="H9" s="102"/>
      <c r="I9" s="76"/>
      <c r="J9" s="102"/>
      <c r="K9" s="102"/>
      <c r="L9" s="76"/>
      <c r="M9" s="76"/>
      <c r="N9" s="78"/>
      <c r="O9" s="103"/>
    </row>
    <row r="10" spans="1:15" ht="117.95" customHeight="1">
      <c r="A10" s="270" t="s">
        <v>123</v>
      </c>
      <c r="B10" s="101"/>
      <c r="C10" s="76"/>
      <c r="D10" s="76"/>
      <c r="E10" s="76"/>
      <c r="F10" s="76"/>
      <c r="G10" s="102"/>
      <c r="H10" s="102"/>
      <c r="I10" s="76"/>
      <c r="J10" s="102"/>
      <c r="K10" s="102"/>
      <c r="L10" s="76"/>
      <c r="M10" s="76"/>
      <c r="N10" s="78"/>
      <c r="O10" s="103"/>
    </row>
    <row r="11" spans="1:15" ht="117.95" customHeight="1">
      <c r="A11" s="270" t="s">
        <v>124</v>
      </c>
      <c r="B11" s="101"/>
      <c r="C11" s="76"/>
      <c r="D11" s="76"/>
      <c r="E11" s="76"/>
      <c r="F11" s="76"/>
      <c r="G11" s="102"/>
      <c r="H11" s="102"/>
      <c r="I11" s="76"/>
      <c r="J11" s="102"/>
      <c r="K11" s="102"/>
      <c r="L11" s="76"/>
      <c r="M11" s="76"/>
      <c r="N11" s="78"/>
      <c r="O11" s="103"/>
    </row>
    <row r="12" spans="1:15" ht="117.95" customHeight="1">
      <c r="A12" s="270" t="s">
        <v>210</v>
      </c>
      <c r="B12" s="101"/>
      <c r="C12" s="76"/>
      <c r="D12" s="76"/>
      <c r="E12" s="76"/>
      <c r="F12" s="76"/>
      <c r="G12" s="102"/>
      <c r="H12" s="102"/>
      <c r="I12" s="76"/>
      <c r="J12" s="102"/>
      <c r="K12" s="102"/>
      <c r="L12" s="76"/>
      <c r="M12" s="76"/>
      <c r="N12" s="78"/>
      <c r="O12" s="103"/>
    </row>
    <row r="13" spans="1:15" ht="117.95" customHeight="1">
      <c r="A13" s="270" t="s">
        <v>209</v>
      </c>
      <c r="B13" s="101"/>
      <c r="C13" s="76"/>
      <c r="D13" s="76"/>
      <c r="E13" s="76"/>
      <c r="F13" s="76"/>
      <c r="G13" s="102"/>
      <c r="H13" s="102"/>
      <c r="I13" s="76"/>
      <c r="J13" s="102"/>
      <c r="K13" s="102"/>
      <c r="L13" s="76"/>
      <c r="M13" s="76"/>
      <c r="N13" s="78"/>
      <c r="O13" s="103"/>
    </row>
    <row r="14" spans="1:15" ht="117.95" customHeight="1">
      <c r="A14" s="270" t="s">
        <v>127</v>
      </c>
      <c r="B14" s="101"/>
      <c r="C14" s="76"/>
      <c r="D14" s="76"/>
      <c r="E14" s="76"/>
      <c r="F14" s="76"/>
      <c r="G14" s="102"/>
      <c r="H14" s="102"/>
      <c r="I14" s="76"/>
      <c r="J14" s="102"/>
      <c r="K14" s="102"/>
      <c r="L14" s="76"/>
      <c r="M14" s="76"/>
      <c r="N14" s="78"/>
      <c r="O14" s="103"/>
    </row>
    <row r="15" spans="1:15" ht="117.95" customHeight="1">
      <c r="A15" s="270" t="s">
        <v>128</v>
      </c>
      <c r="B15" s="101"/>
      <c r="C15" s="76"/>
      <c r="D15" s="76"/>
      <c r="E15" s="76"/>
      <c r="F15" s="76"/>
      <c r="G15" s="102"/>
      <c r="H15" s="102"/>
      <c r="I15" s="76"/>
      <c r="J15" s="102"/>
      <c r="K15" s="102"/>
      <c r="L15" s="76"/>
      <c r="M15" s="76"/>
      <c r="N15" s="78"/>
      <c r="O15" s="103"/>
    </row>
    <row r="16" spans="1:15" ht="117.95" customHeight="1">
      <c r="A16" s="270" t="s">
        <v>308</v>
      </c>
      <c r="B16" s="101"/>
      <c r="C16" s="76"/>
      <c r="D16" s="76"/>
      <c r="E16" s="76"/>
      <c r="F16" s="76"/>
      <c r="G16" s="102"/>
      <c r="H16" s="102"/>
      <c r="I16" s="76"/>
      <c r="J16" s="102"/>
      <c r="K16" s="102"/>
      <c r="L16" s="76"/>
      <c r="M16" s="76"/>
      <c r="N16" s="78"/>
      <c r="O16" s="103"/>
    </row>
    <row r="17" spans="1:15" ht="117.95" customHeight="1">
      <c r="A17" s="271" t="s">
        <v>129</v>
      </c>
      <c r="B17" s="101"/>
      <c r="C17" s="76"/>
      <c r="D17" s="76"/>
      <c r="E17" s="76"/>
      <c r="F17" s="76"/>
      <c r="G17" s="102"/>
      <c r="H17" s="102"/>
      <c r="I17" s="76"/>
      <c r="J17" s="102"/>
      <c r="K17" s="102"/>
      <c r="L17" s="76"/>
      <c r="M17" s="76"/>
      <c r="N17" s="78"/>
      <c r="O17" s="103"/>
    </row>
    <row r="18" spans="1:15" ht="117.95" customHeight="1">
      <c r="A18" s="270" t="s">
        <v>176</v>
      </c>
      <c r="B18" s="101"/>
      <c r="C18" s="76"/>
      <c r="D18" s="76"/>
      <c r="E18" s="76"/>
      <c r="F18" s="76"/>
      <c r="G18" s="102"/>
      <c r="H18" s="102"/>
      <c r="I18" s="76"/>
      <c r="J18" s="102"/>
      <c r="K18" s="102"/>
      <c r="L18" s="76"/>
      <c r="M18" s="76"/>
      <c r="N18" s="78"/>
      <c r="O18" s="103"/>
    </row>
    <row r="19" spans="1:15" ht="117.95" customHeight="1">
      <c r="A19" s="270" t="s">
        <v>130</v>
      </c>
      <c r="B19" s="101"/>
      <c r="C19" s="76"/>
      <c r="D19" s="76"/>
      <c r="E19" s="76"/>
      <c r="F19" s="76"/>
      <c r="G19" s="102"/>
      <c r="H19" s="102"/>
      <c r="I19" s="76"/>
      <c r="J19" s="102"/>
      <c r="K19" s="102"/>
      <c r="L19" s="76"/>
      <c r="M19" s="76"/>
      <c r="N19" s="78"/>
      <c r="O19" s="103"/>
    </row>
    <row r="20" spans="1:15" ht="117.95" customHeight="1">
      <c r="A20" s="270" t="s">
        <v>179</v>
      </c>
      <c r="B20" s="101"/>
      <c r="C20" s="76"/>
      <c r="D20" s="76"/>
      <c r="E20" s="76"/>
      <c r="F20" s="76"/>
      <c r="G20" s="102"/>
      <c r="H20" s="102"/>
      <c r="I20" s="76"/>
      <c r="J20" s="102"/>
      <c r="K20" s="102"/>
      <c r="L20" s="76"/>
      <c r="M20" s="76"/>
      <c r="N20" s="78"/>
      <c r="O20" s="103"/>
    </row>
    <row r="21" spans="1:15" ht="117.95" customHeight="1">
      <c r="A21" s="270" t="s">
        <v>131</v>
      </c>
      <c r="B21" s="101"/>
      <c r="C21" s="76"/>
      <c r="D21" s="76"/>
      <c r="E21" s="76"/>
      <c r="F21" s="76"/>
      <c r="G21" s="102"/>
      <c r="H21" s="102"/>
      <c r="I21" s="76"/>
      <c r="J21" s="102"/>
      <c r="K21" s="102"/>
      <c r="L21" s="76"/>
      <c r="M21" s="76"/>
      <c r="N21" s="78"/>
      <c r="O21" s="103"/>
    </row>
    <row r="22" spans="1:15" ht="117.95" customHeight="1">
      <c r="A22" s="270" t="s">
        <v>180</v>
      </c>
      <c r="B22" s="101"/>
      <c r="C22" s="76"/>
      <c r="D22" s="76"/>
      <c r="E22" s="76"/>
      <c r="F22" s="76"/>
      <c r="G22" s="102"/>
      <c r="H22" s="102"/>
      <c r="I22" s="76"/>
      <c r="J22" s="102"/>
      <c r="K22" s="102"/>
      <c r="L22" s="76"/>
      <c r="M22" s="76"/>
      <c r="N22" s="78"/>
      <c r="O22" s="103"/>
    </row>
    <row r="23" spans="1:15" ht="117.95" customHeight="1">
      <c r="A23" s="270" t="s">
        <v>181</v>
      </c>
      <c r="B23" s="101"/>
      <c r="C23" s="76"/>
      <c r="D23" s="76"/>
      <c r="E23" s="76"/>
      <c r="F23" s="76"/>
      <c r="G23" s="102"/>
      <c r="H23" s="102"/>
      <c r="I23" s="76"/>
      <c r="J23" s="102"/>
      <c r="K23" s="102"/>
      <c r="L23" s="76"/>
      <c r="M23" s="76"/>
      <c r="N23" s="78"/>
      <c r="O23" s="103"/>
    </row>
    <row r="24" spans="1:15" ht="117.95" customHeight="1">
      <c r="A24" s="270" t="s">
        <v>132</v>
      </c>
      <c r="B24" s="101"/>
      <c r="C24" s="76"/>
      <c r="D24" s="76"/>
      <c r="E24" s="76"/>
      <c r="F24" s="76"/>
      <c r="G24" s="102"/>
      <c r="H24" s="102"/>
      <c r="I24" s="76"/>
      <c r="J24" s="102"/>
      <c r="K24" s="102"/>
      <c r="L24" s="76"/>
      <c r="M24" s="76"/>
      <c r="N24" s="78"/>
      <c r="O24" s="103"/>
    </row>
    <row r="25" spans="1:15" ht="117.95" customHeight="1">
      <c r="A25" s="270" t="s">
        <v>133</v>
      </c>
      <c r="B25" s="101"/>
      <c r="C25" s="76"/>
      <c r="D25" s="76"/>
      <c r="E25" s="76"/>
      <c r="F25" s="76"/>
      <c r="G25" s="102"/>
      <c r="H25" s="102"/>
      <c r="I25" s="76"/>
      <c r="J25" s="102"/>
      <c r="K25" s="102"/>
      <c r="L25" s="76"/>
      <c r="M25" s="76"/>
      <c r="N25" s="78"/>
      <c r="O25" s="103"/>
    </row>
    <row r="26" spans="1:15" ht="117.95" customHeight="1">
      <c r="A26" s="270" t="s">
        <v>134</v>
      </c>
      <c r="B26" s="101"/>
      <c r="C26" s="76"/>
      <c r="D26" s="76"/>
      <c r="E26" s="76"/>
      <c r="F26" s="76"/>
      <c r="G26" s="102"/>
      <c r="H26" s="102"/>
      <c r="I26" s="76"/>
      <c r="J26" s="102"/>
      <c r="K26" s="102"/>
      <c r="L26" s="76"/>
      <c r="M26" s="76"/>
      <c r="N26" s="78"/>
      <c r="O26" s="103"/>
    </row>
    <row r="27" spans="1:15" ht="117.95" customHeight="1">
      <c r="A27" s="270" t="s">
        <v>136</v>
      </c>
      <c r="B27" s="101"/>
      <c r="C27" s="76"/>
      <c r="D27" s="76"/>
      <c r="E27" s="76"/>
      <c r="F27" s="76"/>
      <c r="G27" s="102"/>
      <c r="H27" s="102"/>
      <c r="I27" s="76"/>
      <c r="J27" s="102"/>
      <c r="K27" s="102"/>
      <c r="L27" s="76"/>
      <c r="M27" s="76"/>
      <c r="N27" s="78"/>
      <c r="O27" s="103"/>
    </row>
    <row r="28" spans="1:15" ht="117.95" customHeight="1">
      <c r="A28" s="270" t="s">
        <v>231</v>
      </c>
      <c r="B28" s="101"/>
      <c r="C28" s="76"/>
      <c r="D28" s="76"/>
      <c r="E28" s="76"/>
      <c r="F28" s="76"/>
      <c r="G28" s="102"/>
      <c r="H28" s="102"/>
      <c r="I28" s="76"/>
      <c r="J28" s="102"/>
      <c r="K28" s="102"/>
      <c r="L28" s="76"/>
      <c r="M28" s="76"/>
      <c r="N28" s="78"/>
      <c r="O28" s="103"/>
    </row>
    <row r="29" spans="1:15" ht="117.95" customHeight="1">
      <c r="A29" s="270" t="s">
        <v>138</v>
      </c>
      <c r="B29" s="101"/>
      <c r="C29" s="76"/>
      <c r="D29" s="76"/>
      <c r="E29" s="76"/>
      <c r="F29" s="76"/>
      <c r="G29" s="102"/>
      <c r="H29" s="102"/>
      <c r="I29" s="76"/>
      <c r="J29" s="102"/>
      <c r="K29" s="102"/>
      <c r="L29" s="76"/>
      <c r="M29" s="76"/>
      <c r="N29" s="78"/>
      <c r="O29" s="103"/>
    </row>
    <row r="30" spans="1:15" ht="117.95" customHeight="1">
      <c r="A30" s="270" t="s">
        <v>144</v>
      </c>
      <c r="B30" s="101"/>
      <c r="C30" s="76"/>
      <c r="D30" s="76"/>
      <c r="E30" s="76"/>
      <c r="F30" s="76"/>
      <c r="G30" s="102"/>
      <c r="H30" s="102"/>
      <c r="I30" s="76"/>
      <c r="J30" s="102"/>
      <c r="K30" s="102"/>
      <c r="L30" s="76"/>
      <c r="M30" s="76"/>
      <c r="N30" s="78"/>
      <c r="O30" s="103"/>
    </row>
    <row r="31" spans="1:15" ht="117.95" customHeight="1">
      <c r="A31" s="270" t="s">
        <v>146</v>
      </c>
      <c r="B31" s="101"/>
      <c r="C31" s="76"/>
      <c r="D31" s="76"/>
      <c r="E31" s="76"/>
      <c r="F31" s="76"/>
      <c r="G31" s="102"/>
      <c r="H31" s="102"/>
      <c r="I31" s="76"/>
      <c r="J31" s="102"/>
      <c r="K31" s="102"/>
      <c r="L31" s="76"/>
      <c r="M31" s="76"/>
      <c r="N31" s="78"/>
      <c r="O31" s="103"/>
    </row>
    <row r="32" spans="1:15" ht="117.95" customHeight="1">
      <c r="A32" s="270" t="s">
        <v>147</v>
      </c>
      <c r="B32" s="101"/>
      <c r="C32" s="76"/>
      <c r="D32" s="76"/>
      <c r="E32" s="76"/>
      <c r="F32" s="76"/>
      <c r="G32" s="102"/>
      <c r="H32" s="102"/>
      <c r="I32" s="76"/>
      <c r="J32" s="102"/>
      <c r="K32" s="102"/>
      <c r="L32" s="76"/>
      <c r="M32" s="76"/>
      <c r="N32" s="78"/>
      <c r="O32" s="103"/>
    </row>
    <row r="33" spans="1:15" ht="117.95" customHeight="1">
      <c r="A33" s="270" t="s">
        <v>148</v>
      </c>
      <c r="B33" s="101"/>
      <c r="C33" s="76"/>
      <c r="D33" s="76"/>
      <c r="E33" s="76"/>
      <c r="F33" s="76"/>
      <c r="G33" s="102"/>
      <c r="H33" s="102"/>
      <c r="I33" s="76"/>
      <c r="J33" s="102"/>
      <c r="K33" s="102"/>
      <c r="L33" s="76"/>
      <c r="M33" s="76"/>
      <c r="N33" s="78"/>
      <c r="O33" s="103"/>
    </row>
    <row r="34" spans="1:15" ht="117.95" customHeight="1">
      <c r="A34" s="270" t="s">
        <v>150</v>
      </c>
      <c r="B34" s="101"/>
      <c r="C34" s="76"/>
      <c r="D34" s="76"/>
      <c r="E34" s="76"/>
      <c r="F34" s="76"/>
      <c r="G34" s="102"/>
      <c r="H34" s="102"/>
      <c r="I34" s="76"/>
      <c r="J34" s="102"/>
      <c r="K34" s="102"/>
      <c r="L34" s="76"/>
      <c r="M34" s="76"/>
      <c r="N34" s="78"/>
      <c r="O34" s="103"/>
    </row>
    <row r="35" spans="1:15" ht="117.95" customHeight="1">
      <c r="A35" s="270" t="s">
        <v>152</v>
      </c>
      <c r="B35" s="101"/>
      <c r="C35" s="76"/>
      <c r="D35" s="76"/>
      <c r="E35" s="76"/>
      <c r="F35" s="76"/>
      <c r="G35" s="102"/>
      <c r="H35" s="102"/>
      <c r="I35" s="76"/>
      <c r="J35" s="102"/>
      <c r="K35" s="102"/>
      <c r="L35" s="76"/>
      <c r="M35" s="76"/>
      <c r="N35" s="78"/>
      <c r="O35" s="103"/>
    </row>
    <row r="36" spans="1:15" ht="117.95" customHeight="1">
      <c r="A36" s="270" t="s">
        <v>154</v>
      </c>
      <c r="B36" s="101"/>
      <c r="C36" s="76"/>
      <c r="D36" s="76"/>
      <c r="E36" s="76"/>
      <c r="F36" s="76"/>
      <c r="G36" s="102"/>
      <c r="H36" s="102"/>
      <c r="I36" s="76"/>
      <c r="J36" s="102"/>
      <c r="K36" s="102"/>
      <c r="L36" s="76"/>
      <c r="M36" s="76"/>
      <c r="N36" s="78"/>
      <c r="O36" s="103"/>
    </row>
    <row r="37" spans="1:15" ht="117.95" customHeight="1">
      <c r="A37" s="270" t="s">
        <v>156</v>
      </c>
      <c r="B37" s="101"/>
      <c r="C37" s="76"/>
      <c r="D37" s="76"/>
      <c r="E37" s="76"/>
      <c r="F37" s="76"/>
      <c r="G37" s="102"/>
      <c r="H37" s="102"/>
      <c r="I37" s="76"/>
      <c r="J37" s="102"/>
      <c r="K37" s="102"/>
      <c r="L37" s="76"/>
      <c r="M37" s="76"/>
      <c r="N37" s="78"/>
      <c r="O37" s="103"/>
    </row>
    <row r="38" spans="1:15" ht="117.95" customHeight="1">
      <c r="A38" s="270" t="s">
        <v>158</v>
      </c>
      <c r="B38" s="101"/>
      <c r="C38" s="76"/>
      <c r="D38" s="76"/>
      <c r="E38" s="76"/>
      <c r="F38" s="76"/>
      <c r="G38" s="102"/>
      <c r="H38" s="102"/>
      <c r="I38" s="76"/>
      <c r="J38" s="102"/>
      <c r="K38" s="102"/>
      <c r="L38" s="76"/>
      <c r="M38" s="76"/>
      <c r="N38" s="78"/>
      <c r="O38" s="103"/>
    </row>
    <row r="39" spans="1:15" ht="117.95" customHeight="1">
      <c r="A39" s="270" t="s">
        <v>160</v>
      </c>
      <c r="B39" s="101"/>
      <c r="C39" s="76"/>
      <c r="D39" s="76"/>
      <c r="E39" s="76"/>
      <c r="F39" s="76"/>
      <c r="G39" s="102"/>
      <c r="H39" s="102"/>
      <c r="I39" s="76"/>
      <c r="J39" s="102"/>
      <c r="K39" s="102"/>
      <c r="L39" s="76"/>
      <c r="M39" s="76"/>
      <c r="N39" s="78"/>
      <c r="O39" s="103"/>
    </row>
    <row r="40" spans="1:15" ht="117.95" customHeight="1">
      <c r="A40" s="270" t="s">
        <v>162</v>
      </c>
      <c r="B40" s="101"/>
      <c r="C40" s="76"/>
      <c r="D40" s="76"/>
      <c r="E40" s="76"/>
      <c r="F40" s="76"/>
      <c r="G40" s="102"/>
      <c r="H40" s="102"/>
      <c r="I40" s="76"/>
      <c r="J40" s="102"/>
      <c r="K40" s="102"/>
      <c r="L40" s="76"/>
      <c r="M40" s="76"/>
      <c r="N40" s="78"/>
      <c r="O40" s="103"/>
    </row>
    <row r="41" spans="1:15" ht="117.95" customHeight="1">
      <c r="A41" s="270" t="s">
        <v>164</v>
      </c>
      <c r="B41" s="101"/>
      <c r="C41" s="76"/>
      <c r="D41" s="76"/>
      <c r="E41" s="76"/>
      <c r="F41" s="76"/>
      <c r="G41" s="102"/>
      <c r="H41" s="102"/>
      <c r="I41" s="76"/>
      <c r="J41" s="102"/>
      <c r="K41" s="102"/>
      <c r="L41" s="76"/>
      <c r="M41" s="76"/>
      <c r="N41" s="78"/>
      <c r="O41" s="103"/>
    </row>
    <row r="42" spans="1:15" ht="117.95" customHeight="1">
      <c r="A42" s="270" t="s">
        <v>166</v>
      </c>
      <c r="B42" s="101"/>
      <c r="C42" s="76"/>
      <c r="D42" s="76"/>
      <c r="E42" s="76"/>
      <c r="F42" s="76"/>
      <c r="G42" s="102"/>
      <c r="H42" s="102"/>
      <c r="I42" s="76"/>
      <c r="J42" s="102"/>
      <c r="K42" s="102"/>
      <c r="L42" s="76"/>
      <c r="M42" s="76"/>
      <c r="N42" s="78"/>
      <c r="O42" s="103"/>
    </row>
    <row r="43" spans="1:15" ht="117.95" customHeight="1">
      <c r="A43" s="270" t="s">
        <v>168</v>
      </c>
      <c r="B43" s="101"/>
      <c r="C43" s="76"/>
      <c r="D43" s="76"/>
      <c r="E43" s="76"/>
      <c r="F43" s="76"/>
      <c r="G43" s="102"/>
      <c r="H43" s="102"/>
      <c r="I43" s="76"/>
      <c r="J43" s="102"/>
      <c r="K43" s="102"/>
      <c r="L43" s="76"/>
      <c r="M43" s="76"/>
      <c r="N43" s="78"/>
      <c r="O43" s="103"/>
    </row>
    <row r="44" spans="1:15" ht="117.95" customHeight="1">
      <c r="A44" s="270" t="s">
        <v>170</v>
      </c>
      <c r="B44" s="101"/>
      <c r="C44" s="76"/>
      <c r="D44" s="76"/>
      <c r="E44" s="76"/>
      <c r="F44" s="76"/>
      <c r="G44" s="102"/>
      <c r="H44" s="102"/>
      <c r="I44" s="76"/>
      <c r="J44" s="102"/>
      <c r="K44" s="102"/>
      <c r="L44" s="76"/>
      <c r="M44" s="76"/>
      <c r="N44" s="78"/>
      <c r="O44" s="103"/>
    </row>
    <row r="45" spans="1:15" ht="117.95" customHeight="1">
      <c r="A45" s="270" t="s">
        <v>171</v>
      </c>
      <c r="B45" s="101"/>
      <c r="C45" s="76"/>
      <c r="D45" s="76"/>
      <c r="E45" s="76"/>
      <c r="F45" s="76"/>
      <c r="G45" s="102"/>
      <c r="H45" s="102"/>
      <c r="I45" s="76"/>
      <c r="J45" s="102"/>
      <c r="K45" s="102"/>
      <c r="L45" s="76"/>
      <c r="M45" s="76"/>
      <c r="N45" s="78"/>
      <c r="O45" s="103"/>
    </row>
    <row r="46" spans="1:15" ht="117.95" customHeight="1">
      <c r="A46" s="270" t="s">
        <v>173</v>
      </c>
      <c r="B46" s="101"/>
      <c r="C46" s="76"/>
      <c r="D46" s="76"/>
      <c r="E46" s="76"/>
      <c r="F46" s="76"/>
      <c r="G46" s="102"/>
      <c r="H46" s="102"/>
      <c r="I46" s="76"/>
      <c r="J46" s="102"/>
      <c r="K46" s="102"/>
      <c r="L46" s="76"/>
      <c r="M46" s="76"/>
      <c r="N46" s="78"/>
      <c r="O46" s="103"/>
    </row>
    <row r="47" spans="1:15" ht="117.95" customHeight="1">
      <c r="A47" s="270" t="s">
        <v>175</v>
      </c>
      <c r="B47" s="101"/>
      <c r="C47" s="76"/>
      <c r="D47" s="76"/>
      <c r="E47" s="76"/>
      <c r="F47" s="76"/>
      <c r="G47" s="102"/>
      <c r="H47" s="102"/>
      <c r="I47" s="76"/>
      <c r="J47" s="102"/>
      <c r="K47" s="102"/>
      <c r="L47" s="76"/>
      <c r="M47" s="76"/>
      <c r="N47" s="78"/>
      <c r="O47" s="103"/>
    </row>
    <row r="48" spans="1:15" ht="117.95" customHeight="1">
      <c r="A48" s="270" t="s">
        <v>223</v>
      </c>
      <c r="B48" s="101"/>
      <c r="C48" s="76"/>
      <c r="D48" s="76"/>
      <c r="E48" s="76"/>
      <c r="F48" s="76"/>
      <c r="G48" s="102"/>
      <c r="H48" s="102"/>
      <c r="I48" s="76"/>
      <c r="J48" s="102"/>
      <c r="K48" s="102"/>
      <c r="L48" s="76"/>
      <c r="M48" s="76"/>
      <c r="N48" s="78"/>
      <c r="O48" s="103"/>
    </row>
    <row r="49" spans="1:15" ht="117.95" customHeight="1">
      <c r="A49" s="270" t="s">
        <v>310</v>
      </c>
      <c r="B49" s="101"/>
      <c r="C49" s="76"/>
      <c r="D49" s="76"/>
      <c r="E49" s="76"/>
      <c r="F49" s="76"/>
      <c r="G49" s="102"/>
      <c r="H49" s="102"/>
      <c r="I49" s="76"/>
      <c r="J49" s="102"/>
      <c r="K49" s="102"/>
      <c r="L49" s="76"/>
      <c r="M49" s="76"/>
      <c r="N49" s="78"/>
      <c r="O49" s="103"/>
    </row>
    <row r="50" spans="1:15" ht="117.95" customHeight="1">
      <c r="A50" s="270" t="s">
        <v>235</v>
      </c>
      <c r="B50" s="101"/>
      <c r="C50" s="76"/>
      <c r="D50" s="76"/>
      <c r="E50" s="76"/>
      <c r="F50" s="76"/>
      <c r="G50" s="102"/>
      <c r="H50" s="102"/>
      <c r="I50" s="76"/>
      <c r="J50" s="102"/>
      <c r="K50" s="102"/>
      <c r="L50" s="76"/>
      <c r="M50" s="76"/>
      <c r="N50" s="78"/>
      <c r="O50" s="103"/>
    </row>
    <row r="51" spans="1:15" ht="117.95" customHeight="1">
      <c r="A51" s="270" t="s">
        <v>236</v>
      </c>
      <c r="B51" s="101"/>
      <c r="C51" s="76"/>
      <c r="D51" s="76"/>
      <c r="E51" s="76"/>
      <c r="F51" s="76"/>
      <c r="G51" s="102"/>
      <c r="H51" s="102"/>
      <c r="I51" s="76"/>
      <c r="J51" s="102"/>
      <c r="K51" s="102"/>
      <c r="L51" s="76"/>
      <c r="M51" s="76"/>
      <c r="N51" s="78"/>
      <c r="O51" s="103"/>
    </row>
    <row r="52" spans="1:15" ht="117.95" customHeight="1">
      <c r="A52" s="270" t="s">
        <v>237</v>
      </c>
      <c r="B52" s="101"/>
      <c r="C52" s="76"/>
      <c r="D52" s="76"/>
      <c r="E52" s="76"/>
      <c r="F52" s="76"/>
      <c r="G52" s="102"/>
      <c r="H52" s="102"/>
      <c r="I52" s="76"/>
      <c r="J52" s="102"/>
      <c r="K52" s="102"/>
      <c r="L52" s="76"/>
      <c r="M52" s="76"/>
      <c r="N52" s="78"/>
      <c r="O52" s="103"/>
    </row>
    <row r="53" spans="1:15" ht="117.95" customHeight="1">
      <c r="A53" s="270" t="s">
        <v>238</v>
      </c>
      <c r="B53" s="101"/>
      <c r="C53" s="76"/>
      <c r="D53" s="76"/>
      <c r="E53" s="76"/>
      <c r="F53" s="76"/>
      <c r="G53" s="102"/>
      <c r="H53" s="102"/>
      <c r="I53" s="76"/>
      <c r="J53" s="102"/>
      <c r="K53" s="102"/>
      <c r="L53" s="76"/>
      <c r="M53" s="76"/>
      <c r="N53" s="78"/>
      <c r="O53" s="103"/>
    </row>
    <row r="54" spans="1:15" ht="117.95" customHeight="1">
      <c r="A54" s="270" t="s">
        <v>239</v>
      </c>
      <c r="B54" s="101"/>
      <c r="C54" s="76"/>
      <c r="D54" s="76"/>
      <c r="E54" s="76"/>
      <c r="F54" s="76"/>
      <c r="G54" s="102"/>
      <c r="H54" s="102"/>
      <c r="I54" s="76"/>
      <c r="J54" s="102"/>
      <c r="K54" s="102"/>
      <c r="L54" s="76"/>
      <c r="M54" s="76"/>
      <c r="N54" s="78"/>
      <c r="O54" s="103"/>
    </row>
    <row r="55" spans="1:15" ht="117.95" customHeight="1">
      <c r="A55" s="270" t="s">
        <v>240</v>
      </c>
      <c r="B55" s="101"/>
      <c r="C55" s="76"/>
      <c r="D55" s="76"/>
      <c r="E55" s="76"/>
      <c r="F55" s="76"/>
      <c r="G55" s="102"/>
      <c r="H55" s="102"/>
      <c r="I55" s="76"/>
      <c r="J55" s="102"/>
      <c r="K55" s="102"/>
      <c r="L55" s="76"/>
      <c r="M55" s="76"/>
      <c r="N55" s="78"/>
      <c r="O55" s="103"/>
    </row>
    <row r="56" spans="1:15" ht="117.95" customHeight="1">
      <c r="A56" s="270" t="s">
        <v>241</v>
      </c>
      <c r="B56" s="101"/>
      <c r="C56" s="76"/>
      <c r="D56" s="76"/>
      <c r="E56" s="76"/>
      <c r="F56" s="76"/>
      <c r="G56" s="102"/>
      <c r="H56" s="102"/>
      <c r="I56" s="76"/>
      <c r="J56" s="102"/>
      <c r="K56" s="102"/>
      <c r="L56" s="76"/>
      <c r="M56" s="76"/>
      <c r="N56" s="78"/>
      <c r="O56" s="103"/>
    </row>
    <row r="57" spans="1:15" ht="117.95" customHeight="1">
      <c r="A57" s="270" t="s">
        <v>242</v>
      </c>
      <c r="B57" s="101"/>
      <c r="C57" s="76"/>
      <c r="D57" s="76"/>
      <c r="E57" s="76"/>
      <c r="F57" s="76"/>
      <c r="G57" s="102"/>
      <c r="H57" s="102"/>
      <c r="I57" s="76"/>
      <c r="J57" s="102"/>
      <c r="K57" s="102"/>
      <c r="L57" s="76"/>
      <c r="M57" s="76"/>
      <c r="N57" s="78"/>
      <c r="O57" s="103"/>
    </row>
    <row r="58" spans="1:15" ht="117.95" customHeight="1">
      <c r="A58" s="272" t="s">
        <v>243</v>
      </c>
      <c r="B58" s="101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88"/>
      <c r="O58" s="104"/>
    </row>
    <row r="59" spans="1:15" ht="117.95" customHeight="1">
      <c r="A59" s="273" t="s">
        <v>142</v>
      </c>
      <c r="B59" s="101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88"/>
      <c r="O59" s="104"/>
    </row>
    <row r="60" spans="1:15" ht="117.95" customHeight="1">
      <c r="A60" s="270" t="s">
        <v>145</v>
      </c>
      <c r="B60" s="101"/>
      <c r="C60" s="76"/>
      <c r="D60" s="76"/>
      <c r="E60" s="76"/>
      <c r="F60" s="76"/>
      <c r="G60" s="102"/>
      <c r="H60" s="102"/>
      <c r="I60" s="76"/>
      <c r="J60" s="102"/>
      <c r="K60" s="102"/>
      <c r="L60" s="76"/>
      <c r="M60" s="76"/>
      <c r="N60" s="78"/>
      <c r="O60" s="103"/>
    </row>
    <row r="61" spans="1:15" ht="117.95" customHeight="1">
      <c r="A61" s="270" t="s">
        <v>149</v>
      </c>
      <c r="B61" s="101"/>
      <c r="C61" s="76"/>
      <c r="D61" s="76"/>
      <c r="E61" s="76"/>
      <c r="F61" s="76"/>
      <c r="G61" s="102"/>
      <c r="H61" s="102"/>
      <c r="I61" s="76"/>
      <c r="J61" s="102"/>
      <c r="K61" s="102"/>
      <c r="L61" s="76"/>
      <c r="M61" s="76"/>
      <c r="N61" s="78"/>
      <c r="O61" s="103"/>
    </row>
    <row r="62" spans="1:15" ht="117.95" customHeight="1">
      <c r="A62" s="270" t="s">
        <v>151</v>
      </c>
      <c r="B62" s="101"/>
      <c r="C62" s="76"/>
      <c r="D62" s="76"/>
      <c r="E62" s="76"/>
      <c r="F62" s="76"/>
      <c r="G62" s="102"/>
      <c r="H62" s="102"/>
      <c r="I62" s="76"/>
      <c r="J62" s="102"/>
      <c r="K62" s="102"/>
      <c r="L62" s="76"/>
      <c r="M62" s="76"/>
      <c r="N62" s="78"/>
      <c r="O62" s="103"/>
    </row>
    <row r="63" spans="1:15" ht="117.95" customHeight="1">
      <c r="A63" s="270" t="s">
        <v>153</v>
      </c>
      <c r="B63" s="101"/>
      <c r="C63" s="76"/>
      <c r="D63" s="76"/>
      <c r="E63" s="76"/>
      <c r="F63" s="76"/>
      <c r="G63" s="102"/>
      <c r="H63" s="102"/>
      <c r="I63" s="76"/>
      <c r="J63" s="102"/>
      <c r="K63" s="102"/>
      <c r="L63" s="76"/>
      <c r="M63" s="76"/>
      <c r="N63" s="78"/>
      <c r="O63" s="103"/>
    </row>
    <row r="64" spans="1:15" ht="117.95" customHeight="1">
      <c r="A64" s="270" t="s">
        <v>155</v>
      </c>
      <c r="B64" s="101"/>
      <c r="C64" s="76"/>
      <c r="D64" s="76"/>
      <c r="E64" s="76"/>
      <c r="F64" s="76"/>
      <c r="G64" s="102"/>
      <c r="H64" s="102"/>
      <c r="I64" s="76"/>
      <c r="J64" s="102"/>
      <c r="K64" s="102"/>
      <c r="L64" s="76"/>
      <c r="M64" s="76"/>
      <c r="N64" s="78"/>
      <c r="O64" s="103"/>
    </row>
    <row r="65" spans="1:15" ht="117.95" customHeight="1">
      <c r="A65" s="270" t="s">
        <v>157</v>
      </c>
      <c r="B65" s="101"/>
      <c r="C65" s="76"/>
      <c r="D65" s="76"/>
      <c r="E65" s="76"/>
      <c r="F65" s="76"/>
      <c r="G65" s="102"/>
      <c r="H65" s="102"/>
      <c r="I65" s="76"/>
      <c r="J65" s="102"/>
      <c r="K65" s="102"/>
      <c r="L65" s="76"/>
      <c r="M65" s="76"/>
      <c r="N65" s="78"/>
      <c r="O65" s="103"/>
    </row>
    <row r="66" spans="1:15" ht="117.95" customHeight="1">
      <c r="A66" s="270" t="s">
        <v>165</v>
      </c>
      <c r="B66" s="101"/>
      <c r="C66" s="76"/>
      <c r="D66" s="76"/>
      <c r="E66" s="76"/>
      <c r="F66" s="76"/>
      <c r="G66" s="102"/>
      <c r="H66" s="102"/>
      <c r="I66" s="76"/>
      <c r="J66" s="102"/>
      <c r="K66" s="102"/>
      <c r="L66" s="76"/>
      <c r="M66" s="76"/>
      <c r="N66" s="78"/>
      <c r="O66" s="103"/>
    </row>
    <row r="67" spans="1:15" ht="117.95" customHeight="1">
      <c r="A67" s="270" t="s">
        <v>167</v>
      </c>
      <c r="B67" s="101"/>
      <c r="C67" s="76"/>
      <c r="D67" s="76"/>
      <c r="E67" s="76"/>
      <c r="F67" s="76"/>
      <c r="G67" s="102"/>
      <c r="H67" s="102"/>
      <c r="I67" s="76"/>
      <c r="J67" s="102"/>
      <c r="K67" s="102"/>
      <c r="L67" s="76"/>
      <c r="M67" s="76"/>
      <c r="N67" s="78"/>
      <c r="O67" s="103"/>
    </row>
    <row r="68" spans="1:15" ht="117.95" customHeight="1">
      <c r="A68" s="270" t="s">
        <v>169</v>
      </c>
      <c r="B68" s="101"/>
      <c r="C68" s="76"/>
      <c r="D68" s="76"/>
      <c r="E68" s="76"/>
      <c r="F68" s="76"/>
      <c r="G68" s="102"/>
      <c r="H68" s="102"/>
      <c r="I68" s="76"/>
      <c r="J68" s="102"/>
      <c r="K68" s="102"/>
      <c r="L68" s="76"/>
      <c r="M68" s="76"/>
      <c r="N68" s="78"/>
      <c r="O68" s="103"/>
    </row>
    <row r="69" spans="1:15" ht="117.95" customHeight="1">
      <c r="A69" s="270" t="s">
        <v>315</v>
      </c>
      <c r="B69" s="101"/>
      <c r="C69" s="76"/>
      <c r="D69" s="76"/>
      <c r="E69" s="76"/>
      <c r="F69" s="76"/>
      <c r="G69" s="102"/>
      <c r="H69" s="102"/>
      <c r="I69" s="76"/>
      <c r="J69" s="102"/>
      <c r="K69" s="76"/>
      <c r="L69" s="76"/>
      <c r="M69" s="76"/>
      <c r="N69" s="76"/>
      <c r="O69" s="103"/>
    </row>
    <row r="70" spans="1:15" ht="117.95" customHeight="1">
      <c r="A70" s="270" t="s">
        <v>174</v>
      </c>
      <c r="B70" s="101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103"/>
    </row>
    <row r="71" spans="1:15" ht="117.95" customHeight="1">
      <c r="A71" s="270" t="s">
        <v>159</v>
      </c>
      <c r="B71" s="101"/>
      <c r="C71" s="76"/>
      <c r="D71" s="76"/>
      <c r="E71" s="76"/>
      <c r="F71" s="76"/>
      <c r="G71" s="102"/>
      <c r="H71" s="102"/>
      <c r="I71" s="76"/>
      <c r="J71" s="102"/>
      <c r="K71" s="102"/>
      <c r="L71" s="76"/>
      <c r="M71" s="76"/>
      <c r="N71" s="78"/>
      <c r="O71" s="103"/>
    </row>
    <row r="72" spans="1:15" ht="117.95" customHeight="1">
      <c r="A72" s="270" t="s">
        <v>161</v>
      </c>
      <c r="B72" s="101"/>
      <c r="C72" s="76"/>
      <c r="D72" s="76"/>
      <c r="E72" s="76"/>
      <c r="F72" s="76"/>
      <c r="G72" s="102"/>
      <c r="H72" s="102"/>
      <c r="I72" s="76"/>
      <c r="J72" s="102"/>
      <c r="K72" s="102"/>
      <c r="L72" s="76"/>
      <c r="M72" s="76"/>
      <c r="N72" s="78"/>
      <c r="O72" s="103"/>
    </row>
    <row r="73" spans="1:15" ht="117.95" customHeight="1">
      <c r="A73" s="270" t="s">
        <v>163</v>
      </c>
      <c r="B73" s="101"/>
      <c r="C73" s="76"/>
      <c r="D73" s="76"/>
      <c r="E73" s="76"/>
      <c r="F73" s="76"/>
      <c r="G73" s="102"/>
      <c r="H73" s="102"/>
      <c r="I73" s="76"/>
      <c r="J73" s="102"/>
      <c r="K73" s="102"/>
      <c r="L73" s="76"/>
      <c r="M73" s="76"/>
      <c r="N73" s="78"/>
      <c r="O73" s="103"/>
    </row>
    <row r="74" spans="1:15" ht="117.95" customHeight="1">
      <c r="A74" s="270" t="s">
        <v>311</v>
      </c>
      <c r="B74" s="101"/>
      <c r="C74" s="76"/>
      <c r="D74" s="76"/>
      <c r="E74" s="76"/>
      <c r="F74" s="76"/>
      <c r="G74" s="102"/>
      <c r="H74" s="102"/>
      <c r="I74" s="76"/>
      <c r="J74" s="102"/>
      <c r="K74" s="102"/>
      <c r="L74" s="76"/>
      <c r="M74" s="76"/>
      <c r="N74" s="78"/>
      <c r="O74" s="103"/>
    </row>
    <row r="75" spans="1:15" ht="117.95" customHeight="1">
      <c r="A75" s="270" t="s">
        <v>397</v>
      </c>
      <c r="B75" s="101"/>
      <c r="C75" s="76"/>
      <c r="D75" s="76"/>
      <c r="E75" s="76"/>
      <c r="F75" s="76"/>
      <c r="G75" s="102"/>
      <c r="H75" s="102"/>
      <c r="I75" s="76"/>
      <c r="J75" s="102"/>
      <c r="K75" s="102"/>
      <c r="L75" s="76"/>
      <c r="M75" s="76"/>
      <c r="N75" s="78"/>
      <c r="O75" s="103"/>
    </row>
    <row r="76" spans="1:15" ht="117.95" customHeight="1">
      <c r="A76" s="270" t="s">
        <v>409</v>
      </c>
      <c r="B76" s="101"/>
      <c r="C76" s="76"/>
      <c r="D76" s="76"/>
      <c r="E76" s="76"/>
      <c r="F76" s="76"/>
      <c r="G76" s="102"/>
      <c r="H76" s="102"/>
      <c r="I76" s="76"/>
      <c r="J76" s="102"/>
      <c r="K76" s="102"/>
      <c r="L76" s="76"/>
      <c r="M76" s="76"/>
      <c r="N76" s="78"/>
      <c r="O76" s="103"/>
    </row>
    <row r="77" spans="1:15" ht="117.95" customHeight="1">
      <c r="A77" s="270" t="s">
        <v>399</v>
      </c>
      <c r="B77" s="101"/>
      <c r="C77" s="76"/>
      <c r="D77" s="76"/>
      <c r="E77" s="76"/>
      <c r="F77" s="76"/>
      <c r="G77" s="102"/>
      <c r="H77" s="102"/>
      <c r="I77" s="76"/>
      <c r="J77" s="102"/>
      <c r="K77" s="102"/>
      <c r="L77" s="76"/>
      <c r="M77" s="76"/>
      <c r="N77" s="78"/>
      <c r="O77" s="103"/>
    </row>
    <row r="78" spans="1:15" ht="117.95" customHeight="1">
      <c r="A78" s="270" t="s">
        <v>410</v>
      </c>
      <c r="B78" s="101"/>
      <c r="C78" s="76"/>
      <c r="D78" s="76"/>
      <c r="E78" s="76"/>
      <c r="F78" s="76"/>
      <c r="G78" s="102"/>
      <c r="H78" s="102"/>
      <c r="I78" s="76"/>
      <c r="J78" s="102"/>
      <c r="K78" s="102"/>
      <c r="L78" s="76"/>
      <c r="M78" s="76"/>
      <c r="N78" s="78"/>
      <c r="O78" s="103"/>
    </row>
    <row r="79" spans="1:15" ht="117.95" customHeight="1">
      <c r="A79" s="270" t="s">
        <v>400</v>
      </c>
      <c r="B79" s="101"/>
      <c r="C79" s="76"/>
      <c r="D79" s="76"/>
      <c r="E79" s="76"/>
      <c r="F79" s="76"/>
      <c r="G79" s="102"/>
      <c r="H79" s="102"/>
      <c r="I79" s="76"/>
      <c r="J79" s="102"/>
      <c r="K79" s="102"/>
      <c r="L79" s="76"/>
      <c r="M79" s="76"/>
      <c r="N79" s="78"/>
      <c r="O79" s="103"/>
    </row>
    <row r="80" spans="1:15" ht="117.95" customHeight="1" thickBot="1">
      <c r="A80" s="270" t="s">
        <v>411</v>
      </c>
      <c r="B80" s="101"/>
      <c r="C80" s="76"/>
      <c r="D80" s="76"/>
      <c r="E80" s="76"/>
      <c r="F80" s="76"/>
      <c r="G80" s="102"/>
      <c r="H80" s="102"/>
      <c r="I80" s="76"/>
      <c r="J80" s="102"/>
      <c r="K80" s="102"/>
      <c r="L80" s="76"/>
      <c r="M80" s="76"/>
      <c r="N80" s="78"/>
      <c r="O80" s="103"/>
    </row>
    <row r="81" spans="1:15" ht="117.95" hidden="1" customHeight="1">
      <c r="A81" s="142"/>
      <c r="B81" s="101"/>
      <c r="C81" s="76"/>
      <c r="D81" s="76"/>
      <c r="E81" s="76"/>
      <c r="F81" s="76"/>
      <c r="G81" s="102"/>
      <c r="H81" s="102"/>
      <c r="I81" s="76"/>
      <c r="J81" s="102"/>
      <c r="K81" s="102"/>
      <c r="L81" s="76"/>
      <c r="M81" s="76"/>
      <c r="N81" s="78"/>
      <c r="O81" s="103"/>
    </row>
    <row r="82" spans="1:15" ht="135" hidden="1" customHeight="1">
      <c r="A82" s="142"/>
      <c r="B82" s="101"/>
      <c r="C82" s="76"/>
      <c r="D82" s="76"/>
      <c r="E82" s="76"/>
      <c r="F82" s="76"/>
      <c r="G82" s="102"/>
      <c r="H82" s="102"/>
      <c r="I82" s="76"/>
      <c r="J82" s="102"/>
      <c r="K82" s="102"/>
      <c r="L82" s="76"/>
      <c r="M82" s="76"/>
      <c r="N82" s="78"/>
      <c r="O82" s="103"/>
    </row>
    <row r="83" spans="1:15" ht="140.1" hidden="1" customHeight="1">
      <c r="A83" s="142"/>
      <c r="B83" s="101"/>
      <c r="C83" s="76"/>
      <c r="D83" s="76"/>
      <c r="E83" s="76"/>
      <c r="F83" s="76"/>
      <c r="G83" s="102"/>
      <c r="H83" s="102"/>
      <c r="I83" s="76"/>
      <c r="J83" s="102"/>
      <c r="K83" s="102"/>
      <c r="L83" s="76"/>
      <c r="M83" s="76"/>
      <c r="N83" s="78"/>
      <c r="O83" s="103"/>
    </row>
    <row r="84" spans="1:15" ht="140.1" hidden="1" customHeight="1">
      <c r="A84" s="142"/>
      <c r="B84" s="101"/>
      <c r="C84" s="76"/>
      <c r="D84" s="76"/>
      <c r="E84" s="76"/>
      <c r="F84" s="76"/>
      <c r="G84" s="102"/>
      <c r="H84" s="102"/>
      <c r="I84" s="76"/>
      <c r="J84" s="102"/>
      <c r="K84" s="102"/>
      <c r="L84" s="76"/>
      <c r="M84" s="76"/>
      <c r="N84" s="78"/>
      <c r="O84" s="103"/>
    </row>
    <row r="85" spans="1:15" ht="140.1" hidden="1" customHeight="1">
      <c r="A85" s="142"/>
      <c r="B85" s="101"/>
      <c r="C85" s="76"/>
      <c r="D85" s="76"/>
      <c r="E85" s="76"/>
      <c r="F85" s="76"/>
      <c r="G85" s="102"/>
      <c r="H85" s="102"/>
      <c r="I85" s="76"/>
      <c r="J85" s="102"/>
      <c r="K85" s="102"/>
      <c r="L85" s="76"/>
      <c r="M85" s="76"/>
      <c r="N85" s="78"/>
      <c r="O85" s="103"/>
    </row>
    <row r="86" spans="1:15" ht="140.1" hidden="1" customHeight="1">
      <c r="A86" s="142"/>
      <c r="B86" s="101"/>
      <c r="C86" s="76"/>
      <c r="D86" s="76"/>
      <c r="E86" s="76"/>
      <c r="F86" s="76"/>
      <c r="G86" s="102"/>
      <c r="H86" s="102"/>
      <c r="I86" s="76"/>
      <c r="J86" s="102"/>
      <c r="K86" s="102"/>
      <c r="L86" s="76"/>
      <c r="M86" s="76"/>
      <c r="N86" s="78"/>
      <c r="O86" s="103"/>
    </row>
    <row r="87" spans="1:15" ht="140.1" hidden="1" customHeight="1">
      <c r="A87" s="142"/>
      <c r="B87" s="101"/>
      <c r="C87" s="76"/>
      <c r="D87" s="76"/>
      <c r="E87" s="76"/>
      <c r="F87" s="76"/>
      <c r="G87" s="102"/>
      <c r="H87" s="102"/>
      <c r="I87" s="76"/>
      <c r="J87" s="102"/>
      <c r="K87" s="102"/>
      <c r="L87" s="76"/>
      <c r="M87" s="76"/>
      <c r="N87" s="78"/>
      <c r="O87" s="103"/>
    </row>
    <row r="88" spans="1:15" ht="140.1" hidden="1" customHeight="1">
      <c r="A88" s="142"/>
      <c r="B88" s="101"/>
      <c r="C88" s="76"/>
      <c r="D88" s="76"/>
      <c r="E88" s="76"/>
      <c r="F88" s="76"/>
      <c r="G88" s="102"/>
      <c r="H88" s="102"/>
      <c r="I88" s="76"/>
      <c r="J88" s="102"/>
      <c r="K88" s="102"/>
      <c r="L88" s="76"/>
      <c r="M88" s="76"/>
      <c r="N88" s="78"/>
      <c r="O88" s="103"/>
    </row>
    <row r="89" spans="1:15" ht="140.1" hidden="1" customHeight="1">
      <c r="A89" s="142"/>
      <c r="B89" s="101"/>
      <c r="C89" s="76"/>
      <c r="D89" s="76"/>
      <c r="E89" s="76"/>
      <c r="F89" s="76"/>
      <c r="G89" s="102"/>
      <c r="H89" s="102"/>
      <c r="I89" s="76"/>
      <c r="J89" s="102"/>
      <c r="K89" s="102"/>
      <c r="L89" s="76"/>
      <c r="M89" s="76"/>
      <c r="N89" s="78"/>
      <c r="O89" s="103"/>
    </row>
    <row r="90" spans="1:15" ht="140.1" hidden="1" customHeight="1">
      <c r="A90" s="142"/>
      <c r="B90" s="101"/>
      <c r="C90" s="76"/>
      <c r="D90" s="76"/>
      <c r="E90" s="76"/>
      <c r="F90" s="76"/>
      <c r="G90" s="102"/>
      <c r="H90" s="102"/>
      <c r="I90" s="76"/>
      <c r="J90" s="102"/>
      <c r="K90" s="102"/>
      <c r="L90" s="76"/>
      <c r="M90" s="76"/>
      <c r="N90" s="78"/>
      <c r="O90" s="103"/>
    </row>
    <row r="91" spans="1:15" ht="140.1" hidden="1" customHeight="1" thickBot="1">
      <c r="A91" s="142"/>
      <c r="B91" s="101"/>
      <c r="C91" s="76"/>
      <c r="D91" s="76"/>
      <c r="E91" s="76"/>
      <c r="F91" s="76"/>
      <c r="G91" s="102"/>
      <c r="H91" s="102"/>
      <c r="I91" s="76"/>
      <c r="J91" s="102"/>
      <c r="K91" s="102"/>
      <c r="L91" s="76"/>
      <c r="M91" s="76"/>
      <c r="N91" s="78"/>
      <c r="O91" s="103"/>
    </row>
    <row r="92" spans="1:15" ht="96" customHeight="1" thickBot="1">
      <c r="A92" s="369" t="s">
        <v>260</v>
      </c>
      <c r="B92" s="370"/>
      <c r="C92" s="370"/>
      <c r="D92" s="370"/>
      <c r="E92" s="370"/>
      <c r="F92" s="370"/>
      <c r="G92" s="370"/>
      <c r="H92" s="370"/>
      <c r="I92" s="370"/>
      <c r="J92" s="370"/>
      <c r="K92" s="370"/>
      <c r="L92" s="370"/>
      <c r="M92" s="371"/>
      <c r="N92" s="350"/>
      <c r="O92" s="351"/>
    </row>
  </sheetData>
  <mergeCells count="7">
    <mergeCell ref="A3:A4"/>
    <mergeCell ref="B4:O4"/>
    <mergeCell ref="A92:M92"/>
    <mergeCell ref="N92:O92"/>
    <mergeCell ref="A1:M1"/>
    <mergeCell ref="N1:O1"/>
    <mergeCell ref="A2:O2"/>
  </mergeCells>
  <printOptions verticalCentered="1"/>
  <pageMargins left="0" right="0" top="0" bottom="0" header="0" footer="0"/>
  <pageSetup paperSize="9" scale="11" fitToHeight="0" orientation="landscape" blackAndWhite="1" r:id="rId1"/>
  <rowBreaks count="1" manualBreakCount="1">
    <brk id="38" max="14" man="1"/>
  </rowBreaks>
  <colBreaks count="1" manualBreakCount="1">
    <brk id="11" max="79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BA1AD-89D7-4275-BB1D-5FF9C644B633}">
  <sheetPr codeName="Q8">
    <tabColor theme="0"/>
  </sheetPr>
  <dimension ref="A1:C53"/>
  <sheetViews>
    <sheetView view="pageBreakPreview" zoomScale="115" zoomScaleNormal="100" zoomScaleSheetLayoutView="115" workbookViewId="0">
      <selection activeCell="A24" sqref="A24"/>
    </sheetView>
  </sheetViews>
  <sheetFormatPr defaultRowHeight="15"/>
  <cols>
    <col min="1" max="1" width="65.7109375" customWidth="1"/>
    <col min="2" max="2" width="25.7109375" customWidth="1"/>
    <col min="3" max="3" width="28.85546875" customWidth="1"/>
  </cols>
  <sheetData>
    <row r="1" spans="1:3" ht="45" customHeight="1">
      <c r="A1" s="377" t="s">
        <v>228</v>
      </c>
      <c r="B1" s="377"/>
      <c r="C1" s="377"/>
    </row>
    <row r="2" spans="1:3" ht="18.75" customHeight="1">
      <c r="A2" s="63" t="s">
        <v>226</v>
      </c>
      <c r="B2" s="64" t="s">
        <v>227</v>
      </c>
      <c r="C2" s="65"/>
    </row>
    <row r="3" spans="1:3" ht="18">
      <c r="A3" s="52"/>
      <c r="B3" s="58"/>
      <c r="C3" s="59"/>
    </row>
    <row r="4" spans="1:3" ht="65.099999999999994" customHeight="1">
      <c r="A4" s="378" t="s">
        <v>186</v>
      </c>
      <c r="B4" s="379"/>
      <c r="C4" s="379"/>
    </row>
    <row r="5" spans="1:3" ht="19.5">
      <c r="A5" s="50" t="s">
        <v>2</v>
      </c>
      <c r="B5" s="51" t="s">
        <v>6</v>
      </c>
      <c r="C5" s="51" t="s">
        <v>7</v>
      </c>
    </row>
    <row r="6" spans="1:3" ht="18" customHeight="1">
      <c r="A6" s="47" t="s">
        <v>124</v>
      </c>
      <c r="B6" s="55"/>
      <c r="C6" s="56"/>
    </row>
    <row r="7" spans="1:3" ht="18" customHeight="1">
      <c r="A7" s="47" t="s">
        <v>123</v>
      </c>
      <c r="B7" s="55"/>
      <c r="C7" s="56"/>
    </row>
    <row r="8" spans="1:3" ht="18" customHeight="1">
      <c r="A8" s="47" t="s">
        <v>126</v>
      </c>
      <c r="B8" s="55"/>
      <c r="C8" s="56"/>
    </row>
    <row r="9" spans="1:3" ht="18" customHeight="1">
      <c r="A9" s="47" t="s">
        <v>207</v>
      </c>
      <c r="B9" s="55"/>
      <c r="C9" s="56"/>
    </row>
    <row r="10" spans="1:3" ht="18" customHeight="1">
      <c r="A10" s="47" t="s">
        <v>128</v>
      </c>
      <c r="B10" s="55"/>
      <c r="C10" s="56"/>
    </row>
    <row r="11" spans="1:3" ht="18" customHeight="1">
      <c r="A11" s="47" t="s">
        <v>136</v>
      </c>
      <c r="B11" s="55"/>
      <c r="C11" s="56"/>
    </row>
    <row r="12" spans="1:3" ht="18" customHeight="1">
      <c r="A12" s="47" t="s">
        <v>178</v>
      </c>
      <c r="B12" s="55"/>
      <c r="C12" s="56"/>
    </row>
    <row r="13" spans="1:3" ht="18" customHeight="1">
      <c r="A13" s="47" t="s">
        <v>166</v>
      </c>
      <c r="B13" s="55"/>
      <c r="C13" s="56"/>
    </row>
    <row r="14" spans="1:3" ht="18" customHeight="1">
      <c r="A14" s="60" t="s">
        <v>162</v>
      </c>
      <c r="B14" s="55"/>
      <c r="C14" s="56"/>
    </row>
    <row r="15" spans="1:3" ht="18" customHeight="1">
      <c r="A15" s="47" t="s">
        <v>170</v>
      </c>
      <c r="B15" s="55"/>
      <c r="C15" s="56"/>
    </row>
    <row r="16" spans="1:3" ht="18" customHeight="1">
      <c r="A16" s="48" t="s">
        <v>168</v>
      </c>
      <c r="B16" s="55"/>
      <c r="C16" s="56"/>
    </row>
    <row r="17" spans="1:3" ht="18" customHeight="1">
      <c r="A17" s="61" t="s">
        <v>156</v>
      </c>
      <c r="B17" s="55"/>
      <c r="C17" s="56"/>
    </row>
    <row r="18" spans="1:3" ht="18" customHeight="1">
      <c r="A18" s="62" t="s">
        <v>176</v>
      </c>
      <c r="B18" s="55"/>
      <c r="C18" s="56"/>
    </row>
    <row r="19" spans="1:3" ht="18" customHeight="1">
      <c r="A19" s="48" t="s">
        <v>106</v>
      </c>
      <c r="B19" s="55"/>
      <c r="C19" s="56"/>
    </row>
    <row r="20" spans="1:3" ht="18" customHeight="1">
      <c r="A20" s="48" t="s">
        <v>312</v>
      </c>
      <c r="B20" s="55"/>
      <c r="C20" s="56"/>
    </row>
    <row r="21" spans="1:3" ht="18" customHeight="1">
      <c r="A21" s="48" t="s">
        <v>340</v>
      </c>
      <c r="B21" s="55"/>
      <c r="C21" s="56"/>
    </row>
    <row r="22" spans="1:3" ht="18" customHeight="1">
      <c r="A22" s="48" t="s">
        <v>132</v>
      </c>
      <c r="B22" s="55"/>
      <c r="C22" s="56"/>
    </row>
    <row r="23" spans="1:3" ht="18" customHeight="1">
      <c r="A23" s="49" t="s">
        <v>398</v>
      </c>
      <c r="B23" s="55"/>
      <c r="C23" s="56"/>
    </row>
    <row r="24" spans="1:3" ht="18" customHeight="1">
      <c r="A24" s="47" t="s">
        <v>401</v>
      </c>
      <c r="B24" s="55"/>
      <c r="C24" s="57"/>
    </row>
    <row r="25" spans="1:3" ht="18" customHeight="1">
      <c r="A25" s="49" t="s">
        <v>402</v>
      </c>
      <c r="B25" s="55"/>
      <c r="C25" s="57"/>
    </row>
    <row r="26" spans="1:3" ht="18" customHeight="1">
      <c r="A26" s="48" t="s">
        <v>421</v>
      </c>
      <c r="B26" s="55"/>
      <c r="C26" s="57"/>
    </row>
    <row r="27" spans="1:3" ht="18" customHeight="1">
      <c r="A27" s="48" t="s">
        <v>420</v>
      </c>
      <c r="B27" s="55"/>
      <c r="C27" s="57"/>
    </row>
    <row r="28" spans="1:3" ht="17.25" customHeight="1">
      <c r="A28" s="3"/>
      <c r="B28" s="14"/>
      <c r="C28" s="8"/>
    </row>
    <row r="29" spans="1:3" ht="16.5" customHeight="1">
      <c r="A29" s="3"/>
      <c r="B29" s="7"/>
      <c r="C29" s="8"/>
    </row>
    <row r="30" spans="1:3">
      <c r="A30" s="3"/>
      <c r="B30" s="7"/>
      <c r="C30" s="8"/>
    </row>
    <row r="31" spans="1:3">
      <c r="A31" s="3"/>
      <c r="B31" s="7"/>
      <c r="C31" s="8"/>
    </row>
    <row r="32" spans="1:3">
      <c r="A32" s="3"/>
      <c r="B32" s="7"/>
      <c r="C32" s="8"/>
    </row>
    <row r="33" spans="1:3">
      <c r="A33" s="3"/>
      <c r="B33" s="7"/>
      <c r="C33" s="8"/>
    </row>
    <row r="34" spans="1:3">
      <c r="A34" s="3"/>
      <c r="B34" s="7"/>
      <c r="C34" s="8"/>
    </row>
    <row r="35" spans="1:3">
      <c r="A35" s="3"/>
      <c r="B35" s="7"/>
      <c r="C35" s="8"/>
    </row>
    <row r="36" spans="1:3">
      <c r="A36" s="1"/>
      <c r="B36" s="7"/>
      <c r="C36" s="8"/>
    </row>
    <row r="37" spans="1:3">
      <c r="A37" s="1"/>
      <c r="B37" s="7"/>
      <c r="C37" s="8"/>
    </row>
    <row r="38" spans="1:3">
      <c r="A38" s="1"/>
      <c r="B38" s="7"/>
      <c r="C38" s="8"/>
    </row>
    <row r="39" spans="1:3">
      <c r="A39" s="1"/>
      <c r="B39" s="7"/>
      <c r="C39" s="8"/>
    </row>
    <row r="40" spans="1:3">
      <c r="A40" s="1"/>
      <c r="B40" s="7"/>
      <c r="C40" s="8"/>
    </row>
    <row r="41" spans="1:3">
      <c r="A41" s="1"/>
      <c r="B41" s="7"/>
      <c r="C41" s="8"/>
    </row>
    <row r="42" spans="1:3">
      <c r="A42" s="3"/>
      <c r="B42" s="7"/>
      <c r="C42" s="8"/>
    </row>
    <row r="43" spans="1:3">
      <c r="A43" s="3"/>
      <c r="B43" s="7"/>
      <c r="C43" s="8"/>
    </row>
    <row r="44" spans="1:3">
      <c r="A44" s="3"/>
      <c r="B44" s="7"/>
      <c r="C44" s="8"/>
    </row>
    <row r="45" spans="1:3" ht="15.75" customHeight="1">
      <c r="A45" s="3"/>
      <c r="B45" s="7"/>
      <c r="C45" s="8"/>
    </row>
    <row r="46" spans="1:3" ht="15.75" customHeight="1">
      <c r="A46" s="3"/>
      <c r="B46" s="7"/>
      <c r="C46" s="8"/>
    </row>
    <row r="47" spans="1:3">
      <c r="A47" s="3"/>
      <c r="B47" s="7"/>
      <c r="C47" s="8"/>
    </row>
    <row r="48" spans="1:3">
      <c r="A48" s="3"/>
      <c r="B48" s="7"/>
      <c r="C48" s="8"/>
    </row>
    <row r="49" spans="1:3">
      <c r="A49" s="3"/>
      <c r="B49" s="7"/>
      <c r="C49" s="8"/>
    </row>
    <row r="50" spans="1:3">
      <c r="A50" s="3"/>
      <c r="B50" s="7"/>
      <c r="C50" s="8"/>
    </row>
    <row r="51" spans="1:3">
      <c r="A51" s="3"/>
      <c r="B51" s="7"/>
      <c r="C51" s="8"/>
    </row>
    <row r="52" spans="1:3" ht="15" customHeight="1">
      <c r="A52" s="3"/>
      <c r="B52" s="7"/>
      <c r="C52" s="8"/>
    </row>
    <row r="53" spans="1:3">
      <c r="A53" s="4"/>
      <c r="B53" s="4"/>
      <c r="C53" s="4"/>
    </row>
  </sheetData>
  <mergeCells count="2">
    <mergeCell ref="A1:C1"/>
    <mergeCell ref="A4:C4"/>
  </mergeCells>
  <printOptions horizontalCentered="1"/>
  <pageMargins left="0" right="0" top="0" bottom="0" header="0" footer="0"/>
  <pageSetup paperSize="9" scale="83" orientation="portrait" blackAndWhite="1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1C8E3-8F4B-4C62-B1AB-7CC8C96421A9}">
  <sheetPr codeName="Лист5">
    <pageSetUpPr fitToPage="1"/>
  </sheetPr>
  <dimension ref="A1:O75"/>
  <sheetViews>
    <sheetView view="pageBreakPreview" zoomScale="60" zoomScaleNormal="55" workbookViewId="0">
      <selection activeCell="A31" sqref="A31:XFD74"/>
    </sheetView>
  </sheetViews>
  <sheetFormatPr defaultRowHeight="15"/>
  <cols>
    <col min="1" max="1" width="97.28515625" bestFit="1" customWidth="1"/>
    <col min="2" max="15" width="16.85546875" customWidth="1"/>
    <col min="17" max="17" width="59.7109375" customWidth="1"/>
    <col min="18" max="31" width="15.7109375" customWidth="1"/>
    <col min="263" max="263" width="6.140625" bestFit="1" customWidth="1"/>
    <col min="264" max="264" width="35.7109375" customWidth="1"/>
    <col min="265" max="265" width="4.85546875" bestFit="1" customWidth="1"/>
    <col min="266" max="266" width="7.7109375" customWidth="1"/>
    <col min="519" max="519" width="6.140625" bestFit="1" customWidth="1"/>
    <col min="520" max="520" width="35.7109375" customWidth="1"/>
    <col min="521" max="521" width="4.85546875" bestFit="1" customWidth="1"/>
    <col min="522" max="522" width="7.7109375" customWidth="1"/>
    <col min="775" max="775" width="6.140625" bestFit="1" customWidth="1"/>
    <col min="776" max="776" width="35.7109375" customWidth="1"/>
    <col min="777" max="777" width="4.85546875" bestFit="1" customWidth="1"/>
    <col min="778" max="778" width="7.7109375" customWidth="1"/>
    <col min="1031" max="1031" width="6.140625" bestFit="1" customWidth="1"/>
    <col min="1032" max="1032" width="35.7109375" customWidth="1"/>
    <col min="1033" max="1033" width="4.85546875" bestFit="1" customWidth="1"/>
    <col min="1034" max="1034" width="7.7109375" customWidth="1"/>
    <col min="1287" max="1287" width="6.140625" bestFit="1" customWidth="1"/>
    <col min="1288" max="1288" width="35.7109375" customWidth="1"/>
    <col min="1289" max="1289" width="4.85546875" bestFit="1" customWidth="1"/>
    <col min="1290" max="1290" width="7.7109375" customWidth="1"/>
    <col min="1543" max="1543" width="6.140625" bestFit="1" customWidth="1"/>
    <col min="1544" max="1544" width="35.7109375" customWidth="1"/>
    <col min="1545" max="1545" width="4.85546875" bestFit="1" customWidth="1"/>
    <col min="1546" max="1546" width="7.7109375" customWidth="1"/>
    <col min="1799" max="1799" width="6.140625" bestFit="1" customWidth="1"/>
    <col min="1800" max="1800" width="35.7109375" customWidth="1"/>
    <col min="1801" max="1801" width="4.85546875" bestFit="1" customWidth="1"/>
    <col min="1802" max="1802" width="7.7109375" customWidth="1"/>
    <col min="2055" max="2055" width="6.140625" bestFit="1" customWidth="1"/>
    <col min="2056" max="2056" width="35.7109375" customWidth="1"/>
    <col min="2057" max="2057" width="4.85546875" bestFit="1" customWidth="1"/>
    <col min="2058" max="2058" width="7.7109375" customWidth="1"/>
    <col min="2311" max="2311" width="6.140625" bestFit="1" customWidth="1"/>
    <col min="2312" max="2312" width="35.7109375" customWidth="1"/>
    <col min="2313" max="2313" width="4.85546875" bestFit="1" customWidth="1"/>
    <col min="2314" max="2314" width="7.7109375" customWidth="1"/>
    <col min="2567" max="2567" width="6.140625" bestFit="1" customWidth="1"/>
    <col min="2568" max="2568" width="35.7109375" customWidth="1"/>
    <col min="2569" max="2569" width="4.85546875" bestFit="1" customWidth="1"/>
    <col min="2570" max="2570" width="7.7109375" customWidth="1"/>
    <col min="2823" max="2823" width="6.140625" bestFit="1" customWidth="1"/>
    <col min="2824" max="2824" width="35.7109375" customWidth="1"/>
    <col min="2825" max="2825" width="4.85546875" bestFit="1" customWidth="1"/>
    <col min="2826" max="2826" width="7.7109375" customWidth="1"/>
    <col min="3079" max="3079" width="6.140625" bestFit="1" customWidth="1"/>
    <col min="3080" max="3080" width="35.7109375" customWidth="1"/>
    <col min="3081" max="3081" width="4.85546875" bestFit="1" customWidth="1"/>
    <col min="3082" max="3082" width="7.7109375" customWidth="1"/>
    <col min="3335" max="3335" width="6.140625" bestFit="1" customWidth="1"/>
    <col min="3336" max="3336" width="35.7109375" customWidth="1"/>
    <col min="3337" max="3337" width="4.85546875" bestFit="1" customWidth="1"/>
    <col min="3338" max="3338" width="7.7109375" customWidth="1"/>
    <col min="3591" max="3591" width="6.140625" bestFit="1" customWidth="1"/>
    <col min="3592" max="3592" width="35.7109375" customWidth="1"/>
    <col min="3593" max="3593" width="4.85546875" bestFit="1" customWidth="1"/>
    <col min="3594" max="3594" width="7.7109375" customWidth="1"/>
    <col min="3847" max="3847" width="6.140625" bestFit="1" customWidth="1"/>
    <col min="3848" max="3848" width="35.7109375" customWidth="1"/>
    <col min="3849" max="3849" width="4.85546875" bestFit="1" customWidth="1"/>
    <col min="3850" max="3850" width="7.7109375" customWidth="1"/>
    <col min="4103" max="4103" width="6.140625" bestFit="1" customWidth="1"/>
    <col min="4104" max="4104" width="35.7109375" customWidth="1"/>
    <col min="4105" max="4105" width="4.85546875" bestFit="1" customWidth="1"/>
    <col min="4106" max="4106" width="7.7109375" customWidth="1"/>
    <col min="4359" max="4359" width="6.140625" bestFit="1" customWidth="1"/>
    <col min="4360" max="4360" width="35.7109375" customWidth="1"/>
    <col min="4361" max="4361" width="4.85546875" bestFit="1" customWidth="1"/>
    <col min="4362" max="4362" width="7.7109375" customWidth="1"/>
    <col min="4615" max="4615" width="6.140625" bestFit="1" customWidth="1"/>
    <col min="4616" max="4616" width="35.7109375" customWidth="1"/>
    <col min="4617" max="4617" width="4.85546875" bestFit="1" customWidth="1"/>
    <col min="4618" max="4618" width="7.7109375" customWidth="1"/>
    <col min="4871" max="4871" width="6.140625" bestFit="1" customWidth="1"/>
    <col min="4872" max="4872" width="35.7109375" customWidth="1"/>
    <col min="4873" max="4873" width="4.85546875" bestFit="1" customWidth="1"/>
    <col min="4874" max="4874" width="7.7109375" customWidth="1"/>
    <col min="5127" max="5127" width="6.140625" bestFit="1" customWidth="1"/>
    <col min="5128" max="5128" width="35.7109375" customWidth="1"/>
    <col min="5129" max="5129" width="4.85546875" bestFit="1" customWidth="1"/>
    <col min="5130" max="5130" width="7.7109375" customWidth="1"/>
    <col min="5383" max="5383" width="6.140625" bestFit="1" customWidth="1"/>
    <col min="5384" max="5384" width="35.7109375" customWidth="1"/>
    <col min="5385" max="5385" width="4.85546875" bestFit="1" customWidth="1"/>
    <col min="5386" max="5386" width="7.7109375" customWidth="1"/>
    <col min="5639" max="5639" width="6.140625" bestFit="1" customWidth="1"/>
    <col min="5640" max="5640" width="35.7109375" customWidth="1"/>
    <col min="5641" max="5641" width="4.85546875" bestFit="1" customWidth="1"/>
    <col min="5642" max="5642" width="7.7109375" customWidth="1"/>
    <col min="5895" max="5895" width="6.140625" bestFit="1" customWidth="1"/>
    <col min="5896" max="5896" width="35.7109375" customWidth="1"/>
    <col min="5897" max="5897" width="4.85546875" bestFit="1" customWidth="1"/>
    <col min="5898" max="5898" width="7.7109375" customWidth="1"/>
    <col min="6151" max="6151" width="6.140625" bestFit="1" customWidth="1"/>
    <col min="6152" max="6152" width="35.7109375" customWidth="1"/>
    <col min="6153" max="6153" width="4.85546875" bestFit="1" customWidth="1"/>
    <col min="6154" max="6154" width="7.7109375" customWidth="1"/>
    <col min="6407" max="6407" width="6.140625" bestFit="1" customWidth="1"/>
    <col min="6408" max="6408" width="35.7109375" customWidth="1"/>
    <col min="6409" max="6409" width="4.85546875" bestFit="1" customWidth="1"/>
    <col min="6410" max="6410" width="7.7109375" customWidth="1"/>
    <col min="6663" max="6663" width="6.140625" bestFit="1" customWidth="1"/>
    <col min="6664" max="6664" width="35.7109375" customWidth="1"/>
    <col min="6665" max="6665" width="4.85546875" bestFit="1" customWidth="1"/>
    <col min="6666" max="6666" width="7.7109375" customWidth="1"/>
    <col min="6919" max="6919" width="6.140625" bestFit="1" customWidth="1"/>
    <col min="6920" max="6920" width="35.7109375" customWidth="1"/>
    <col min="6921" max="6921" width="4.85546875" bestFit="1" customWidth="1"/>
    <col min="6922" max="6922" width="7.7109375" customWidth="1"/>
    <col min="7175" max="7175" width="6.140625" bestFit="1" customWidth="1"/>
    <col min="7176" max="7176" width="35.7109375" customWidth="1"/>
    <col min="7177" max="7177" width="4.85546875" bestFit="1" customWidth="1"/>
    <col min="7178" max="7178" width="7.7109375" customWidth="1"/>
    <col min="7431" max="7431" width="6.140625" bestFit="1" customWidth="1"/>
    <col min="7432" max="7432" width="35.7109375" customWidth="1"/>
    <col min="7433" max="7433" width="4.85546875" bestFit="1" customWidth="1"/>
    <col min="7434" max="7434" width="7.7109375" customWidth="1"/>
    <col min="7687" max="7687" width="6.140625" bestFit="1" customWidth="1"/>
    <col min="7688" max="7688" width="35.7109375" customWidth="1"/>
    <col min="7689" max="7689" width="4.85546875" bestFit="1" customWidth="1"/>
    <col min="7690" max="7690" width="7.7109375" customWidth="1"/>
    <col min="7943" max="7943" width="6.140625" bestFit="1" customWidth="1"/>
    <col min="7944" max="7944" width="35.7109375" customWidth="1"/>
    <col min="7945" max="7945" width="4.85546875" bestFit="1" customWidth="1"/>
    <col min="7946" max="7946" width="7.7109375" customWidth="1"/>
    <col min="8199" max="8199" width="6.140625" bestFit="1" customWidth="1"/>
    <col min="8200" max="8200" width="35.7109375" customWidth="1"/>
    <col min="8201" max="8201" width="4.85546875" bestFit="1" customWidth="1"/>
    <col min="8202" max="8202" width="7.7109375" customWidth="1"/>
    <col min="8455" max="8455" width="6.140625" bestFit="1" customWidth="1"/>
    <col min="8456" max="8456" width="35.7109375" customWidth="1"/>
    <col min="8457" max="8457" width="4.85546875" bestFit="1" customWidth="1"/>
    <col min="8458" max="8458" width="7.7109375" customWidth="1"/>
    <col min="8711" max="8711" width="6.140625" bestFit="1" customWidth="1"/>
    <col min="8712" max="8712" width="35.7109375" customWidth="1"/>
    <col min="8713" max="8713" width="4.85546875" bestFit="1" customWidth="1"/>
    <col min="8714" max="8714" width="7.7109375" customWidth="1"/>
    <col min="8967" max="8967" width="6.140625" bestFit="1" customWidth="1"/>
    <col min="8968" max="8968" width="35.7109375" customWidth="1"/>
    <col min="8969" max="8969" width="4.85546875" bestFit="1" customWidth="1"/>
    <col min="8970" max="8970" width="7.7109375" customWidth="1"/>
    <col min="9223" max="9223" width="6.140625" bestFit="1" customWidth="1"/>
    <col min="9224" max="9224" width="35.7109375" customWidth="1"/>
    <col min="9225" max="9225" width="4.85546875" bestFit="1" customWidth="1"/>
    <col min="9226" max="9226" width="7.7109375" customWidth="1"/>
    <col min="9479" max="9479" width="6.140625" bestFit="1" customWidth="1"/>
    <col min="9480" max="9480" width="35.7109375" customWidth="1"/>
    <col min="9481" max="9481" width="4.85546875" bestFit="1" customWidth="1"/>
    <col min="9482" max="9482" width="7.7109375" customWidth="1"/>
    <col min="9735" max="9735" width="6.140625" bestFit="1" customWidth="1"/>
    <col min="9736" max="9736" width="35.7109375" customWidth="1"/>
    <col min="9737" max="9737" width="4.85546875" bestFit="1" customWidth="1"/>
    <col min="9738" max="9738" width="7.7109375" customWidth="1"/>
    <col min="9991" max="9991" width="6.140625" bestFit="1" customWidth="1"/>
    <col min="9992" max="9992" width="35.7109375" customWidth="1"/>
    <col min="9993" max="9993" width="4.85546875" bestFit="1" customWidth="1"/>
    <col min="9994" max="9994" width="7.7109375" customWidth="1"/>
    <col min="10247" max="10247" width="6.140625" bestFit="1" customWidth="1"/>
    <col min="10248" max="10248" width="35.7109375" customWidth="1"/>
    <col min="10249" max="10249" width="4.85546875" bestFit="1" customWidth="1"/>
    <col min="10250" max="10250" width="7.7109375" customWidth="1"/>
    <col min="10503" max="10503" width="6.140625" bestFit="1" customWidth="1"/>
    <col min="10504" max="10504" width="35.7109375" customWidth="1"/>
    <col min="10505" max="10505" width="4.85546875" bestFit="1" customWidth="1"/>
    <col min="10506" max="10506" width="7.7109375" customWidth="1"/>
    <col min="10759" max="10759" width="6.140625" bestFit="1" customWidth="1"/>
    <col min="10760" max="10760" width="35.7109375" customWidth="1"/>
    <col min="10761" max="10761" width="4.85546875" bestFit="1" customWidth="1"/>
    <col min="10762" max="10762" width="7.7109375" customWidth="1"/>
    <col min="11015" max="11015" width="6.140625" bestFit="1" customWidth="1"/>
    <col min="11016" max="11016" width="35.7109375" customWidth="1"/>
    <col min="11017" max="11017" width="4.85546875" bestFit="1" customWidth="1"/>
    <col min="11018" max="11018" width="7.7109375" customWidth="1"/>
    <col min="11271" max="11271" width="6.140625" bestFit="1" customWidth="1"/>
    <col min="11272" max="11272" width="35.7109375" customWidth="1"/>
    <col min="11273" max="11273" width="4.85546875" bestFit="1" customWidth="1"/>
    <col min="11274" max="11274" width="7.7109375" customWidth="1"/>
    <col min="11527" max="11527" width="6.140625" bestFit="1" customWidth="1"/>
    <col min="11528" max="11528" width="35.7109375" customWidth="1"/>
    <col min="11529" max="11529" width="4.85546875" bestFit="1" customWidth="1"/>
    <col min="11530" max="11530" width="7.7109375" customWidth="1"/>
    <col min="11783" max="11783" width="6.140625" bestFit="1" customWidth="1"/>
    <col min="11784" max="11784" width="35.7109375" customWidth="1"/>
    <col min="11785" max="11785" width="4.85546875" bestFit="1" customWidth="1"/>
    <col min="11786" max="11786" width="7.7109375" customWidth="1"/>
    <col min="12039" max="12039" width="6.140625" bestFit="1" customWidth="1"/>
    <col min="12040" max="12040" width="35.7109375" customWidth="1"/>
    <col min="12041" max="12041" width="4.85546875" bestFit="1" customWidth="1"/>
    <col min="12042" max="12042" width="7.7109375" customWidth="1"/>
    <col min="12295" max="12295" width="6.140625" bestFit="1" customWidth="1"/>
    <col min="12296" max="12296" width="35.7109375" customWidth="1"/>
    <col min="12297" max="12297" width="4.85546875" bestFit="1" customWidth="1"/>
    <col min="12298" max="12298" width="7.7109375" customWidth="1"/>
    <col min="12551" max="12551" width="6.140625" bestFit="1" customWidth="1"/>
    <col min="12552" max="12552" width="35.7109375" customWidth="1"/>
    <col min="12553" max="12553" width="4.85546875" bestFit="1" customWidth="1"/>
    <col min="12554" max="12554" width="7.7109375" customWidth="1"/>
    <col min="12807" max="12807" width="6.140625" bestFit="1" customWidth="1"/>
    <col min="12808" max="12808" width="35.7109375" customWidth="1"/>
    <col min="12809" max="12809" width="4.85546875" bestFit="1" customWidth="1"/>
    <col min="12810" max="12810" width="7.7109375" customWidth="1"/>
    <col min="13063" max="13063" width="6.140625" bestFit="1" customWidth="1"/>
    <col min="13064" max="13064" width="35.7109375" customWidth="1"/>
    <col min="13065" max="13065" width="4.85546875" bestFit="1" customWidth="1"/>
    <col min="13066" max="13066" width="7.7109375" customWidth="1"/>
    <col min="13319" max="13319" width="6.140625" bestFit="1" customWidth="1"/>
    <col min="13320" max="13320" width="35.7109375" customWidth="1"/>
    <col min="13321" max="13321" width="4.85546875" bestFit="1" customWidth="1"/>
    <col min="13322" max="13322" width="7.7109375" customWidth="1"/>
    <col min="13575" max="13575" width="6.140625" bestFit="1" customWidth="1"/>
    <col min="13576" max="13576" width="35.7109375" customWidth="1"/>
    <col min="13577" max="13577" width="4.85546875" bestFit="1" customWidth="1"/>
    <col min="13578" max="13578" width="7.7109375" customWidth="1"/>
    <col min="13831" max="13831" width="6.140625" bestFit="1" customWidth="1"/>
    <col min="13832" max="13832" width="35.7109375" customWidth="1"/>
    <col min="13833" max="13833" width="4.85546875" bestFit="1" customWidth="1"/>
    <col min="13834" max="13834" width="7.7109375" customWidth="1"/>
    <col min="14087" max="14087" width="6.140625" bestFit="1" customWidth="1"/>
    <col min="14088" max="14088" width="35.7109375" customWidth="1"/>
    <col min="14089" max="14089" width="4.85546875" bestFit="1" customWidth="1"/>
    <col min="14090" max="14090" width="7.7109375" customWidth="1"/>
    <col min="14343" max="14343" width="6.140625" bestFit="1" customWidth="1"/>
    <col min="14344" max="14344" width="35.7109375" customWidth="1"/>
    <col min="14345" max="14345" width="4.85546875" bestFit="1" customWidth="1"/>
    <col min="14346" max="14346" width="7.7109375" customWidth="1"/>
    <col min="14599" max="14599" width="6.140625" bestFit="1" customWidth="1"/>
    <col min="14600" max="14600" width="35.7109375" customWidth="1"/>
    <col min="14601" max="14601" width="4.85546875" bestFit="1" customWidth="1"/>
    <col min="14602" max="14602" width="7.7109375" customWidth="1"/>
    <col min="14855" max="14855" width="6.140625" bestFit="1" customWidth="1"/>
    <col min="14856" max="14856" width="35.7109375" customWidth="1"/>
    <col min="14857" max="14857" width="4.85546875" bestFit="1" customWidth="1"/>
    <col min="14858" max="14858" width="7.7109375" customWidth="1"/>
    <col min="15111" max="15111" width="6.140625" bestFit="1" customWidth="1"/>
    <col min="15112" max="15112" width="35.7109375" customWidth="1"/>
    <col min="15113" max="15113" width="4.85546875" bestFit="1" customWidth="1"/>
    <col min="15114" max="15114" width="7.7109375" customWidth="1"/>
    <col min="15367" max="15367" width="6.140625" bestFit="1" customWidth="1"/>
    <col min="15368" max="15368" width="35.7109375" customWidth="1"/>
    <col min="15369" max="15369" width="4.85546875" bestFit="1" customWidth="1"/>
    <col min="15370" max="15370" width="7.7109375" customWidth="1"/>
    <col min="15623" max="15623" width="6.140625" bestFit="1" customWidth="1"/>
    <col min="15624" max="15624" width="35.7109375" customWidth="1"/>
    <col min="15625" max="15625" width="4.85546875" bestFit="1" customWidth="1"/>
    <col min="15626" max="15626" width="7.7109375" customWidth="1"/>
    <col min="15879" max="15879" width="6.140625" bestFit="1" customWidth="1"/>
    <col min="15880" max="15880" width="35.7109375" customWidth="1"/>
    <col min="15881" max="15881" width="4.85546875" bestFit="1" customWidth="1"/>
    <col min="15882" max="15882" width="7.7109375" customWidth="1"/>
    <col min="16135" max="16135" width="6.140625" bestFit="1" customWidth="1"/>
    <col min="16136" max="16136" width="35.7109375" customWidth="1"/>
    <col min="16137" max="16137" width="4.85546875" bestFit="1" customWidth="1"/>
    <col min="16138" max="16138" width="7.7109375" customWidth="1"/>
  </cols>
  <sheetData>
    <row r="1" spans="1:15" ht="39.75" customHeight="1" thickBot="1">
      <c r="A1" s="380" t="s">
        <v>341</v>
      </c>
      <c r="B1" s="380"/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</row>
    <row r="2" spans="1:15" ht="49.5" customHeight="1" thickBot="1">
      <c r="A2" s="175">
        <f ca="1">'Тека ГП'!C4</f>
        <v>46211</v>
      </c>
      <c r="B2" s="361" t="s">
        <v>342</v>
      </c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3"/>
    </row>
    <row r="3" spans="1:15" ht="41.25" customHeight="1" thickBot="1">
      <c r="A3" s="381" t="s">
        <v>248</v>
      </c>
      <c r="B3" s="92"/>
      <c r="C3" s="156"/>
      <c r="D3" s="92"/>
      <c r="E3" s="156"/>
      <c r="F3" s="92"/>
      <c r="G3" s="156"/>
      <c r="H3" s="156"/>
      <c r="I3" s="156"/>
      <c r="J3" s="156"/>
      <c r="K3" s="156"/>
      <c r="L3" s="156"/>
      <c r="M3" s="156"/>
      <c r="N3" s="156"/>
      <c r="O3" s="156"/>
    </row>
    <row r="4" spans="1:15" ht="36.75" customHeight="1" thickBot="1">
      <c r="A4" s="381"/>
      <c r="B4" s="356" t="s">
        <v>314</v>
      </c>
      <c r="C4" s="357"/>
      <c r="D4" s="357"/>
      <c r="E4" s="357"/>
      <c r="F4" s="357"/>
      <c r="G4" s="357"/>
      <c r="H4" s="357"/>
      <c r="I4" s="357"/>
      <c r="J4" s="357"/>
      <c r="K4" s="357"/>
      <c r="L4" s="357"/>
      <c r="M4" s="357"/>
      <c r="N4" s="357"/>
      <c r="O4" s="382"/>
    </row>
    <row r="5" spans="1:15" s="77" customFormat="1" ht="38.1" customHeight="1">
      <c r="A5" s="157" t="s">
        <v>124</v>
      </c>
      <c r="B5" s="158"/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60"/>
      <c r="O5" s="161"/>
    </row>
    <row r="6" spans="1:15" s="77" customFormat="1" ht="38.1" customHeight="1">
      <c r="A6" s="162" t="s">
        <v>123</v>
      </c>
      <c r="B6" s="163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5"/>
      <c r="O6" s="166"/>
    </row>
    <row r="7" spans="1:15" s="77" customFormat="1" ht="38.1" customHeight="1">
      <c r="A7" s="162" t="s">
        <v>126</v>
      </c>
      <c r="B7" s="163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5"/>
      <c r="O7" s="166"/>
    </row>
    <row r="8" spans="1:15" s="77" customFormat="1" ht="38.1" customHeight="1">
      <c r="A8" s="162" t="s">
        <v>207</v>
      </c>
      <c r="B8" s="163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5"/>
      <c r="O8" s="166"/>
    </row>
    <row r="9" spans="1:15" s="77" customFormat="1" ht="38.1" customHeight="1">
      <c r="A9" s="162" t="s">
        <v>128</v>
      </c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5"/>
      <c r="O9" s="166"/>
    </row>
    <row r="10" spans="1:15" s="77" customFormat="1" ht="38.1" customHeight="1">
      <c r="A10" s="162" t="s">
        <v>178</v>
      </c>
      <c r="B10" s="163"/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64"/>
      <c r="N10" s="165"/>
      <c r="O10" s="166"/>
    </row>
    <row r="11" spans="1:15" s="77" customFormat="1" ht="38.1" customHeight="1">
      <c r="A11" s="162" t="s">
        <v>166</v>
      </c>
      <c r="B11" s="163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5"/>
      <c r="O11" s="166"/>
    </row>
    <row r="12" spans="1:15" ht="38.1" customHeight="1">
      <c r="A12" s="167" t="s">
        <v>170</v>
      </c>
      <c r="B12" s="163"/>
      <c r="C12" s="169"/>
      <c r="D12" s="169"/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168"/>
    </row>
    <row r="13" spans="1:15" ht="38.1" customHeight="1">
      <c r="A13" s="167" t="s">
        <v>168</v>
      </c>
      <c r="B13" s="163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9"/>
      <c r="O13" s="168"/>
    </row>
    <row r="14" spans="1:15" ht="38.1" customHeight="1">
      <c r="A14" s="167" t="s">
        <v>156</v>
      </c>
      <c r="B14" s="163"/>
      <c r="C14" s="164"/>
      <c r="D14" s="164"/>
      <c r="E14" s="164"/>
      <c r="F14" s="164"/>
      <c r="G14" s="164"/>
      <c r="H14" s="164"/>
      <c r="I14" s="164"/>
      <c r="J14" s="164"/>
      <c r="K14" s="164"/>
      <c r="L14" s="164"/>
      <c r="M14" s="164"/>
      <c r="N14" s="169"/>
      <c r="O14" s="168"/>
    </row>
    <row r="15" spans="1:15" ht="38.1" customHeight="1">
      <c r="A15" s="167" t="s">
        <v>176</v>
      </c>
      <c r="B15" s="163"/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9"/>
      <c r="O15" s="168"/>
    </row>
    <row r="16" spans="1:15" ht="38.1" customHeight="1">
      <c r="A16" s="167" t="s">
        <v>106</v>
      </c>
      <c r="B16" s="163"/>
      <c r="C16" s="164"/>
      <c r="D16" s="164"/>
      <c r="E16" s="164"/>
      <c r="F16" s="164"/>
      <c r="G16" s="164"/>
      <c r="H16" s="164"/>
      <c r="I16" s="164"/>
      <c r="J16" s="164"/>
      <c r="K16" s="164"/>
      <c r="L16" s="164"/>
      <c r="M16" s="164"/>
      <c r="N16" s="169"/>
      <c r="O16" s="168"/>
    </row>
    <row r="17" spans="1:15" ht="38.1" customHeight="1">
      <c r="A17" s="167" t="s">
        <v>340</v>
      </c>
      <c r="B17" s="163"/>
      <c r="C17" s="164"/>
      <c r="D17" s="164"/>
      <c r="E17" s="164"/>
      <c r="F17" s="164"/>
      <c r="G17" s="164"/>
      <c r="H17" s="164"/>
      <c r="I17" s="164"/>
      <c r="J17" s="164"/>
      <c r="K17" s="164"/>
      <c r="L17" s="164"/>
      <c r="M17" s="164"/>
      <c r="N17" s="169"/>
      <c r="O17" s="168"/>
    </row>
    <row r="18" spans="1:15" ht="38.1" customHeight="1">
      <c r="A18" s="167" t="s">
        <v>203</v>
      </c>
      <c r="B18" s="163"/>
      <c r="C18" s="164"/>
      <c r="D18" s="164"/>
      <c r="E18" s="164"/>
      <c r="F18" s="164"/>
      <c r="G18" s="164"/>
      <c r="H18" s="164"/>
      <c r="I18" s="164"/>
      <c r="J18" s="164"/>
      <c r="K18" s="164"/>
      <c r="L18" s="164"/>
      <c r="M18" s="164"/>
      <c r="N18" s="169"/>
      <c r="O18" s="168"/>
    </row>
    <row r="19" spans="1:15" s="77" customFormat="1" ht="38.1" customHeight="1">
      <c r="A19" s="162" t="s">
        <v>343</v>
      </c>
      <c r="B19" s="163"/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64"/>
      <c r="N19" s="165"/>
      <c r="O19" s="166"/>
    </row>
    <row r="20" spans="1:15" s="77" customFormat="1" ht="38.1" customHeight="1">
      <c r="A20" s="162" t="s">
        <v>344</v>
      </c>
      <c r="B20" s="163"/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64"/>
      <c r="N20" s="165"/>
      <c r="O20" s="166"/>
    </row>
    <row r="21" spans="1:15" s="77" customFormat="1" ht="38.1" customHeight="1">
      <c r="A21" s="162" t="s">
        <v>345</v>
      </c>
      <c r="B21" s="163"/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4"/>
      <c r="N21" s="165"/>
      <c r="O21" s="166"/>
    </row>
    <row r="22" spans="1:15" s="77" customFormat="1" ht="38.1" customHeight="1">
      <c r="A22" s="162" t="s">
        <v>346</v>
      </c>
      <c r="B22" s="163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5"/>
      <c r="O22" s="166"/>
    </row>
    <row r="23" spans="1:15" s="77" customFormat="1" ht="38.1" customHeight="1">
      <c r="A23" s="162" t="s">
        <v>347</v>
      </c>
      <c r="B23" s="163"/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164"/>
      <c r="N23" s="165"/>
      <c r="O23" s="166"/>
    </row>
    <row r="24" spans="1:15" s="77" customFormat="1" ht="38.1" customHeight="1">
      <c r="A24" s="162" t="s">
        <v>348</v>
      </c>
      <c r="B24" s="163"/>
      <c r="C24" s="164"/>
      <c r="D24" s="164"/>
      <c r="E24" s="164"/>
      <c r="F24" s="164"/>
      <c r="G24" s="164"/>
      <c r="H24" s="164"/>
      <c r="I24" s="164"/>
      <c r="J24" s="164"/>
      <c r="K24" s="164"/>
      <c r="L24" s="164"/>
      <c r="M24" s="164"/>
      <c r="N24" s="165"/>
      <c r="O24" s="166"/>
    </row>
    <row r="25" spans="1:15" ht="38.1" customHeight="1">
      <c r="A25" s="167" t="s">
        <v>130</v>
      </c>
      <c r="B25" s="163"/>
      <c r="C25" s="164"/>
      <c r="D25" s="164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8"/>
    </row>
    <row r="26" spans="1:15" ht="38.1" customHeight="1">
      <c r="A26" s="167" t="s">
        <v>131</v>
      </c>
      <c r="B26" s="163"/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8"/>
    </row>
    <row r="27" spans="1:15" ht="38.1" customHeight="1">
      <c r="A27" s="167" t="s">
        <v>132</v>
      </c>
      <c r="B27" s="163"/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64"/>
      <c r="N27" s="169"/>
      <c r="O27" s="168"/>
    </row>
    <row r="28" spans="1:15" ht="38.1" customHeight="1">
      <c r="A28" s="167" t="s">
        <v>398</v>
      </c>
      <c r="B28" s="163"/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9"/>
      <c r="O28" s="168"/>
    </row>
    <row r="29" spans="1:15" ht="38.1" customHeight="1">
      <c r="A29" s="167" t="s">
        <v>401</v>
      </c>
      <c r="B29" s="163"/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9"/>
      <c r="O29" s="168"/>
    </row>
    <row r="30" spans="1:15" ht="38.1" customHeight="1">
      <c r="A30" s="167" t="s">
        <v>402</v>
      </c>
      <c r="B30" s="163"/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9"/>
      <c r="O30" s="168"/>
    </row>
    <row r="31" spans="1:15" ht="38.1" hidden="1" customHeight="1">
      <c r="A31" s="167"/>
      <c r="B31" s="163"/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9"/>
      <c r="O31" s="168"/>
    </row>
    <row r="32" spans="1:15" ht="38.1" hidden="1" customHeight="1">
      <c r="A32" s="167"/>
      <c r="B32" s="163"/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9"/>
      <c r="O32" s="168"/>
    </row>
    <row r="33" spans="1:15" ht="38.1" hidden="1" customHeight="1">
      <c r="A33" s="167"/>
      <c r="B33" s="163"/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9"/>
      <c r="O33" s="168"/>
    </row>
    <row r="34" spans="1:15" ht="38.1" hidden="1" customHeight="1">
      <c r="A34" s="167"/>
      <c r="B34" s="163"/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9"/>
      <c r="O34" s="168"/>
    </row>
    <row r="35" spans="1:15" ht="38.1" hidden="1" customHeight="1">
      <c r="A35" s="167"/>
      <c r="B35" s="163"/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9"/>
      <c r="O35" s="168"/>
    </row>
    <row r="36" spans="1:15" ht="38.1" hidden="1" customHeight="1">
      <c r="A36" s="167"/>
      <c r="B36" s="163"/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9"/>
      <c r="O36" s="168"/>
    </row>
    <row r="37" spans="1:15" ht="38.1" hidden="1" customHeight="1">
      <c r="A37" s="167"/>
      <c r="B37" s="163"/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  <c r="N37" s="169"/>
      <c r="O37" s="168"/>
    </row>
    <row r="38" spans="1:15" ht="38.1" hidden="1" customHeight="1">
      <c r="A38" s="167"/>
      <c r="B38" s="163"/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4"/>
      <c r="N38" s="169"/>
      <c r="O38" s="168"/>
    </row>
    <row r="39" spans="1:15" ht="38.1" hidden="1" customHeight="1">
      <c r="A39" s="167"/>
      <c r="B39" s="163"/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164"/>
      <c r="N39" s="169"/>
      <c r="O39" s="168"/>
    </row>
    <row r="40" spans="1:15" ht="38.1" hidden="1" customHeight="1">
      <c r="A40" s="167"/>
      <c r="B40" s="163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9"/>
      <c r="O40" s="168"/>
    </row>
    <row r="41" spans="1:15" ht="38.1" hidden="1" customHeight="1">
      <c r="A41" s="167"/>
      <c r="B41" s="163"/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9"/>
      <c r="O41" s="168"/>
    </row>
    <row r="42" spans="1:15" ht="38.1" hidden="1" customHeight="1">
      <c r="A42" s="167"/>
      <c r="B42" s="163"/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9"/>
      <c r="O42" s="168"/>
    </row>
    <row r="43" spans="1:15" ht="38.1" hidden="1" customHeight="1">
      <c r="A43" s="167"/>
      <c r="B43" s="163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9"/>
      <c r="O43" s="168"/>
    </row>
    <row r="44" spans="1:15" ht="38.1" hidden="1" customHeight="1">
      <c r="A44" s="167"/>
      <c r="B44" s="163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9"/>
      <c r="O44" s="168"/>
    </row>
    <row r="45" spans="1:15" ht="38.1" hidden="1" customHeight="1">
      <c r="A45" s="167"/>
      <c r="B45" s="163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9"/>
      <c r="O45" s="168"/>
    </row>
    <row r="46" spans="1:15" ht="38.1" hidden="1" customHeight="1">
      <c r="A46" s="167"/>
      <c r="B46" s="163"/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9"/>
      <c r="O46" s="168"/>
    </row>
    <row r="47" spans="1:15" ht="38.1" hidden="1" customHeight="1">
      <c r="A47" s="167"/>
      <c r="B47" s="163"/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9"/>
      <c r="O47" s="168"/>
    </row>
    <row r="48" spans="1:15" ht="38.1" hidden="1" customHeight="1">
      <c r="A48" s="167"/>
      <c r="B48" s="163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9"/>
      <c r="O48" s="168"/>
    </row>
    <row r="49" spans="1:15" ht="38.1" hidden="1" customHeight="1">
      <c r="A49" s="167"/>
      <c r="B49" s="163"/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9"/>
      <c r="O49" s="168"/>
    </row>
    <row r="50" spans="1:15" ht="38.1" hidden="1" customHeight="1">
      <c r="A50" s="167"/>
      <c r="B50" s="163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9"/>
      <c r="O50" s="168"/>
    </row>
    <row r="51" spans="1:15" ht="38.1" hidden="1" customHeight="1">
      <c r="A51" s="167"/>
      <c r="B51" s="163"/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9"/>
      <c r="O51" s="168"/>
    </row>
    <row r="52" spans="1:15" ht="38.1" hidden="1" customHeight="1">
      <c r="A52" s="167"/>
      <c r="B52" s="163"/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9"/>
      <c r="O52" s="168"/>
    </row>
    <row r="53" spans="1:15" s="77" customFormat="1" ht="38.1" hidden="1" customHeight="1">
      <c r="A53" s="162"/>
      <c r="B53" s="163"/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5"/>
      <c r="O53" s="166"/>
    </row>
    <row r="54" spans="1:15" s="77" customFormat="1" ht="38.1" hidden="1" customHeight="1">
      <c r="A54" s="162"/>
      <c r="B54" s="163"/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5"/>
      <c r="O54" s="166"/>
    </row>
    <row r="55" spans="1:15" ht="38.1" hidden="1" customHeight="1">
      <c r="A55" s="167"/>
      <c r="B55" s="163"/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8"/>
    </row>
    <row r="56" spans="1:15" ht="38.1" hidden="1" customHeight="1">
      <c r="A56" s="167"/>
      <c r="B56" s="163"/>
      <c r="C56" s="169"/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8"/>
    </row>
    <row r="57" spans="1:15" ht="38.1" hidden="1" customHeight="1">
      <c r="A57" s="167"/>
      <c r="B57" s="163"/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9"/>
      <c r="O57" s="168"/>
    </row>
    <row r="58" spans="1:15" ht="38.1" hidden="1" customHeight="1">
      <c r="A58" s="167"/>
      <c r="B58" s="163"/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9"/>
      <c r="O58" s="168"/>
    </row>
    <row r="59" spans="1:15" ht="38.1" hidden="1" customHeight="1">
      <c r="A59" s="167"/>
      <c r="B59" s="163"/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9"/>
      <c r="O59" s="168"/>
    </row>
    <row r="60" spans="1:15" ht="38.1" hidden="1" customHeight="1">
      <c r="A60" s="167"/>
      <c r="B60" s="163"/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9"/>
      <c r="O60" s="168"/>
    </row>
    <row r="61" spans="1:15" ht="38.1" hidden="1" customHeight="1">
      <c r="A61" s="167"/>
      <c r="B61" s="163"/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9"/>
      <c r="O61" s="168"/>
    </row>
    <row r="62" spans="1:15" ht="38.1" hidden="1" customHeight="1">
      <c r="A62" s="167"/>
      <c r="B62" s="163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9"/>
      <c r="O62" s="168"/>
    </row>
    <row r="63" spans="1:15" ht="38.1" hidden="1" customHeight="1">
      <c r="A63" s="167"/>
      <c r="B63" s="163"/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9"/>
      <c r="O63" s="168"/>
    </row>
    <row r="64" spans="1:15" ht="38.1" hidden="1" customHeight="1">
      <c r="A64" s="167"/>
      <c r="B64" s="163"/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9"/>
      <c r="O64" s="168"/>
    </row>
    <row r="65" spans="1:15" ht="38.1" hidden="1" customHeight="1">
      <c r="A65" s="167"/>
      <c r="B65" s="163"/>
      <c r="C65" s="164"/>
      <c r="D65" s="164"/>
      <c r="E65" s="164"/>
      <c r="F65" s="164"/>
      <c r="G65" s="164"/>
      <c r="H65" s="164"/>
      <c r="I65" s="164"/>
      <c r="J65" s="164"/>
      <c r="K65" s="164"/>
      <c r="L65" s="164"/>
      <c r="M65" s="164"/>
      <c r="N65" s="169"/>
      <c r="O65" s="168"/>
    </row>
    <row r="66" spans="1:15" ht="38.1" hidden="1" customHeight="1">
      <c r="A66" s="167"/>
      <c r="B66" s="163"/>
      <c r="C66" s="164"/>
      <c r="D66" s="164"/>
      <c r="E66" s="164"/>
      <c r="F66" s="164"/>
      <c r="G66" s="164"/>
      <c r="H66" s="164"/>
      <c r="I66" s="164"/>
      <c r="J66" s="164"/>
      <c r="K66" s="164"/>
      <c r="L66" s="164"/>
      <c r="M66" s="164"/>
      <c r="N66" s="169"/>
      <c r="O66" s="168"/>
    </row>
    <row r="67" spans="1:15" ht="38.1" hidden="1" customHeight="1">
      <c r="A67" s="167"/>
      <c r="B67" s="163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9"/>
      <c r="O67" s="168"/>
    </row>
    <row r="68" spans="1:15" s="77" customFormat="1" ht="38.1" hidden="1" customHeight="1">
      <c r="A68" s="162"/>
      <c r="B68" s="163"/>
      <c r="C68" s="164"/>
      <c r="D68" s="164"/>
      <c r="E68" s="164"/>
      <c r="F68" s="164"/>
      <c r="G68" s="164"/>
      <c r="H68" s="164"/>
      <c r="I68" s="164"/>
      <c r="J68" s="164"/>
      <c r="K68" s="164"/>
      <c r="L68" s="164"/>
      <c r="M68" s="164"/>
      <c r="N68" s="165"/>
      <c r="O68" s="166"/>
    </row>
    <row r="69" spans="1:15" s="77" customFormat="1" ht="38.1" hidden="1" customHeight="1">
      <c r="A69" s="162"/>
      <c r="B69" s="163"/>
      <c r="C69" s="164"/>
      <c r="D69" s="164"/>
      <c r="E69" s="164"/>
      <c r="F69" s="164"/>
      <c r="G69" s="164"/>
      <c r="H69" s="164"/>
      <c r="I69" s="164"/>
      <c r="J69" s="164"/>
      <c r="K69" s="164"/>
      <c r="L69" s="164"/>
      <c r="M69" s="164"/>
      <c r="N69" s="165"/>
      <c r="O69" s="166"/>
    </row>
    <row r="70" spans="1:15" s="77" customFormat="1" ht="38.1" hidden="1" customHeight="1">
      <c r="A70" s="162"/>
      <c r="B70" s="163"/>
      <c r="C70" s="164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5"/>
      <c r="O70" s="166"/>
    </row>
    <row r="71" spans="1:15" s="77" customFormat="1" ht="38.1" hidden="1" customHeight="1">
      <c r="A71" s="162"/>
      <c r="B71" s="163"/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5"/>
      <c r="O71" s="166"/>
    </row>
    <row r="72" spans="1:15" s="77" customFormat="1" ht="38.1" hidden="1" customHeight="1">
      <c r="A72" s="162"/>
      <c r="B72" s="163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5"/>
      <c r="O72" s="166"/>
    </row>
    <row r="73" spans="1:15" s="77" customFormat="1" ht="38.1" hidden="1" customHeight="1">
      <c r="A73" s="162"/>
      <c r="B73" s="163"/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64"/>
      <c r="N73" s="165"/>
      <c r="O73" s="166"/>
    </row>
    <row r="74" spans="1:15" s="77" customFormat="1" ht="38.1" hidden="1" customHeight="1" thickBot="1">
      <c r="A74" s="170"/>
      <c r="B74" s="171"/>
      <c r="C74" s="172"/>
      <c r="D74" s="172"/>
      <c r="E74" s="172"/>
      <c r="F74" s="172"/>
      <c r="G74" s="172"/>
      <c r="H74" s="172"/>
      <c r="I74" s="172"/>
      <c r="J74" s="172"/>
      <c r="K74" s="172"/>
      <c r="L74" s="172"/>
      <c r="M74" s="172"/>
      <c r="N74" s="173"/>
      <c r="O74" s="174"/>
    </row>
    <row r="75" spans="1:15" ht="40.15" customHeight="1" thickBot="1">
      <c r="A75" s="383" t="s">
        <v>260</v>
      </c>
      <c r="B75" s="384"/>
      <c r="C75" s="384"/>
      <c r="D75" s="384"/>
      <c r="E75" s="384"/>
      <c r="F75" s="384"/>
      <c r="G75" s="384"/>
      <c r="H75" s="384"/>
      <c r="I75" s="384"/>
      <c r="J75" s="384"/>
      <c r="K75" s="384"/>
      <c r="L75" s="384"/>
      <c r="M75" s="385"/>
      <c r="N75" s="386"/>
      <c r="O75" s="387"/>
    </row>
  </sheetData>
  <mergeCells count="6">
    <mergeCell ref="A1:O1"/>
    <mergeCell ref="B2:O2"/>
    <mergeCell ref="A3:A4"/>
    <mergeCell ref="B4:O4"/>
    <mergeCell ref="A75:M75"/>
    <mergeCell ref="N75:O75"/>
  </mergeCells>
  <pageMargins left="0.7" right="0.7" top="0.75" bottom="0.75" header="0.3" footer="0.3"/>
  <pageSetup paperSize="9" scale="39" orientation="landscape" blackAndWhite="1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D42FB-47F8-4AE0-A657-7C80D99CFE5E}">
  <sheetPr codeName="Лист6">
    <pageSetUpPr fitToPage="1"/>
  </sheetPr>
  <dimension ref="A1:O122"/>
  <sheetViews>
    <sheetView view="pageBreakPreview" topLeftCell="B70" zoomScale="55" zoomScaleNormal="100" zoomScaleSheetLayoutView="55" workbookViewId="0">
      <selection activeCell="D127" sqref="D127"/>
    </sheetView>
  </sheetViews>
  <sheetFormatPr defaultRowHeight="15"/>
  <cols>
    <col min="1" max="1" width="6.140625" hidden="1" customWidth="1"/>
    <col min="2" max="2" width="70" customWidth="1"/>
    <col min="3" max="3" width="25.7109375" customWidth="1"/>
    <col min="4" max="5" width="28" customWidth="1"/>
    <col min="6" max="7" width="20.7109375" customWidth="1"/>
    <col min="8" max="11" width="25.7109375" customWidth="1"/>
    <col min="12" max="12" width="26.5703125" customWidth="1"/>
    <col min="13" max="17" width="9.140625" customWidth="1"/>
    <col min="259" max="259" width="6.140625" bestFit="1" customWidth="1"/>
    <col min="260" max="260" width="35.7109375" customWidth="1"/>
    <col min="261" max="261" width="4.85546875" bestFit="1" customWidth="1"/>
    <col min="262" max="262" width="7.7109375" customWidth="1"/>
    <col min="515" max="515" width="6.140625" bestFit="1" customWidth="1"/>
    <col min="516" max="516" width="35.7109375" customWidth="1"/>
    <col min="517" max="517" width="4.85546875" bestFit="1" customWidth="1"/>
    <col min="518" max="518" width="7.7109375" customWidth="1"/>
    <col min="771" max="771" width="6.140625" bestFit="1" customWidth="1"/>
    <col min="772" max="772" width="35.7109375" customWidth="1"/>
    <col min="773" max="773" width="4.85546875" bestFit="1" customWidth="1"/>
    <col min="774" max="774" width="7.7109375" customWidth="1"/>
    <col min="1027" max="1027" width="6.140625" bestFit="1" customWidth="1"/>
    <col min="1028" max="1028" width="35.7109375" customWidth="1"/>
    <col min="1029" max="1029" width="4.85546875" bestFit="1" customWidth="1"/>
    <col min="1030" max="1030" width="7.7109375" customWidth="1"/>
    <col min="1283" max="1283" width="6.140625" bestFit="1" customWidth="1"/>
    <col min="1284" max="1284" width="35.7109375" customWidth="1"/>
    <col min="1285" max="1285" width="4.85546875" bestFit="1" customWidth="1"/>
    <col min="1286" max="1286" width="7.7109375" customWidth="1"/>
    <col min="1539" max="1539" width="6.140625" bestFit="1" customWidth="1"/>
    <col min="1540" max="1540" width="35.7109375" customWidth="1"/>
    <col min="1541" max="1541" width="4.85546875" bestFit="1" customWidth="1"/>
    <col min="1542" max="1542" width="7.7109375" customWidth="1"/>
    <col min="1795" max="1795" width="6.140625" bestFit="1" customWidth="1"/>
    <col min="1796" max="1796" width="35.7109375" customWidth="1"/>
    <col min="1797" max="1797" width="4.85546875" bestFit="1" customWidth="1"/>
    <col min="1798" max="1798" width="7.7109375" customWidth="1"/>
    <col min="2051" max="2051" width="6.140625" bestFit="1" customWidth="1"/>
    <col min="2052" max="2052" width="35.7109375" customWidth="1"/>
    <col min="2053" max="2053" width="4.85546875" bestFit="1" customWidth="1"/>
    <col min="2054" max="2054" width="7.7109375" customWidth="1"/>
    <col min="2307" max="2307" width="6.140625" bestFit="1" customWidth="1"/>
    <col min="2308" max="2308" width="35.7109375" customWidth="1"/>
    <col min="2309" max="2309" width="4.85546875" bestFit="1" customWidth="1"/>
    <col min="2310" max="2310" width="7.7109375" customWidth="1"/>
    <col min="2563" max="2563" width="6.140625" bestFit="1" customWidth="1"/>
    <col min="2564" max="2564" width="35.7109375" customWidth="1"/>
    <col min="2565" max="2565" width="4.85546875" bestFit="1" customWidth="1"/>
    <col min="2566" max="2566" width="7.7109375" customWidth="1"/>
    <col min="2819" max="2819" width="6.140625" bestFit="1" customWidth="1"/>
    <col min="2820" max="2820" width="35.7109375" customWidth="1"/>
    <col min="2821" max="2821" width="4.85546875" bestFit="1" customWidth="1"/>
    <col min="2822" max="2822" width="7.7109375" customWidth="1"/>
    <col min="3075" max="3075" width="6.140625" bestFit="1" customWidth="1"/>
    <col min="3076" max="3076" width="35.7109375" customWidth="1"/>
    <col min="3077" max="3077" width="4.85546875" bestFit="1" customWidth="1"/>
    <col min="3078" max="3078" width="7.7109375" customWidth="1"/>
    <col min="3331" max="3331" width="6.140625" bestFit="1" customWidth="1"/>
    <col min="3332" max="3332" width="35.7109375" customWidth="1"/>
    <col min="3333" max="3333" width="4.85546875" bestFit="1" customWidth="1"/>
    <col min="3334" max="3334" width="7.7109375" customWidth="1"/>
    <col min="3587" max="3587" width="6.140625" bestFit="1" customWidth="1"/>
    <col min="3588" max="3588" width="35.7109375" customWidth="1"/>
    <col min="3589" max="3589" width="4.85546875" bestFit="1" customWidth="1"/>
    <col min="3590" max="3590" width="7.7109375" customWidth="1"/>
    <col min="3843" max="3843" width="6.140625" bestFit="1" customWidth="1"/>
    <col min="3844" max="3844" width="35.7109375" customWidth="1"/>
    <col min="3845" max="3845" width="4.85546875" bestFit="1" customWidth="1"/>
    <col min="3846" max="3846" width="7.7109375" customWidth="1"/>
    <col min="4099" max="4099" width="6.140625" bestFit="1" customWidth="1"/>
    <col min="4100" max="4100" width="35.7109375" customWidth="1"/>
    <col min="4101" max="4101" width="4.85546875" bestFit="1" customWidth="1"/>
    <col min="4102" max="4102" width="7.7109375" customWidth="1"/>
    <col min="4355" max="4355" width="6.140625" bestFit="1" customWidth="1"/>
    <col min="4356" max="4356" width="35.7109375" customWidth="1"/>
    <col min="4357" max="4357" width="4.85546875" bestFit="1" customWidth="1"/>
    <col min="4358" max="4358" width="7.7109375" customWidth="1"/>
    <col min="4611" max="4611" width="6.140625" bestFit="1" customWidth="1"/>
    <col min="4612" max="4612" width="35.7109375" customWidth="1"/>
    <col min="4613" max="4613" width="4.85546875" bestFit="1" customWidth="1"/>
    <col min="4614" max="4614" width="7.7109375" customWidth="1"/>
    <col min="4867" max="4867" width="6.140625" bestFit="1" customWidth="1"/>
    <col min="4868" max="4868" width="35.7109375" customWidth="1"/>
    <col min="4869" max="4869" width="4.85546875" bestFit="1" customWidth="1"/>
    <col min="4870" max="4870" width="7.7109375" customWidth="1"/>
    <col min="5123" max="5123" width="6.140625" bestFit="1" customWidth="1"/>
    <col min="5124" max="5124" width="35.7109375" customWidth="1"/>
    <col min="5125" max="5125" width="4.85546875" bestFit="1" customWidth="1"/>
    <col min="5126" max="5126" width="7.7109375" customWidth="1"/>
    <col min="5379" max="5379" width="6.140625" bestFit="1" customWidth="1"/>
    <col min="5380" max="5380" width="35.7109375" customWidth="1"/>
    <col min="5381" max="5381" width="4.85546875" bestFit="1" customWidth="1"/>
    <col min="5382" max="5382" width="7.7109375" customWidth="1"/>
    <col min="5635" max="5635" width="6.140625" bestFit="1" customWidth="1"/>
    <col min="5636" max="5636" width="35.7109375" customWidth="1"/>
    <col min="5637" max="5637" width="4.85546875" bestFit="1" customWidth="1"/>
    <col min="5638" max="5638" width="7.7109375" customWidth="1"/>
    <col min="5891" max="5891" width="6.140625" bestFit="1" customWidth="1"/>
    <col min="5892" max="5892" width="35.7109375" customWidth="1"/>
    <col min="5893" max="5893" width="4.85546875" bestFit="1" customWidth="1"/>
    <col min="5894" max="5894" width="7.7109375" customWidth="1"/>
    <col min="6147" max="6147" width="6.140625" bestFit="1" customWidth="1"/>
    <col min="6148" max="6148" width="35.7109375" customWidth="1"/>
    <col min="6149" max="6149" width="4.85546875" bestFit="1" customWidth="1"/>
    <col min="6150" max="6150" width="7.7109375" customWidth="1"/>
    <col min="6403" max="6403" width="6.140625" bestFit="1" customWidth="1"/>
    <col min="6404" max="6404" width="35.7109375" customWidth="1"/>
    <col min="6405" max="6405" width="4.85546875" bestFit="1" customWidth="1"/>
    <col min="6406" max="6406" width="7.7109375" customWidth="1"/>
    <col min="6659" max="6659" width="6.140625" bestFit="1" customWidth="1"/>
    <col min="6660" max="6660" width="35.7109375" customWidth="1"/>
    <col min="6661" max="6661" width="4.85546875" bestFit="1" customWidth="1"/>
    <col min="6662" max="6662" width="7.7109375" customWidth="1"/>
    <col min="6915" max="6915" width="6.140625" bestFit="1" customWidth="1"/>
    <col min="6916" max="6916" width="35.7109375" customWidth="1"/>
    <col min="6917" max="6917" width="4.85546875" bestFit="1" customWidth="1"/>
    <col min="6918" max="6918" width="7.7109375" customWidth="1"/>
    <col min="7171" max="7171" width="6.140625" bestFit="1" customWidth="1"/>
    <col min="7172" max="7172" width="35.7109375" customWidth="1"/>
    <col min="7173" max="7173" width="4.85546875" bestFit="1" customWidth="1"/>
    <col min="7174" max="7174" width="7.7109375" customWidth="1"/>
    <col min="7427" max="7427" width="6.140625" bestFit="1" customWidth="1"/>
    <col min="7428" max="7428" width="35.7109375" customWidth="1"/>
    <col min="7429" max="7429" width="4.85546875" bestFit="1" customWidth="1"/>
    <col min="7430" max="7430" width="7.7109375" customWidth="1"/>
    <col min="7683" max="7683" width="6.140625" bestFit="1" customWidth="1"/>
    <col min="7684" max="7684" width="35.7109375" customWidth="1"/>
    <col min="7685" max="7685" width="4.85546875" bestFit="1" customWidth="1"/>
    <col min="7686" max="7686" width="7.7109375" customWidth="1"/>
    <col min="7939" max="7939" width="6.140625" bestFit="1" customWidth="1"/>
    <col min="7940" max="7940" width="35.7109375" customWidth="1"/>
    <col min="7941" max="7941" width="4.85546875" bestFit="1" customWidth="1"/>
    <col min="7942" max="7942" width="7.7109375" customWidth="1"/>
    <col min="8195" max="8195" width="6.140625" bestFit="1" customWidth="1"/>
    <col min="8196" max="8196" width="35.7109375" customWidth="1"/>
    <col min="8197" max="8197" width="4.85546875" bestFit="1" customWidth="1"/>
    <col min="8198" max="8198" width="7.7109375" customWidth="1"/>
    <col min="8451" max="8451" width="6.140625" bestFit="1" customWidth="1"/>
    <col min="8452" max="8452" width="35.7109375" customWidth="1"/>
    <col min="8453" max="8453" width="4.85546875" bestFit="1" customWidth="1"/>
    <col min="8454" max="8454" width="7.7109375" customWidth="1"/>
    <col min="8707" max="8707" width="6.140625" bestFit="1" customWidth="1"/>
    <col min="8708" max="8708" width="35.7109375" customWidth="1"/>
    <col min="8709" max="8709" width="4.85546875" bestFit="1" customWidth="1"/>
    <col min="8710" max="8710" width="7.7109375" customWidth="1"/>
    <col min="8963" max="8963" width="6.140625" bestFit="1" customWidth="1"/>
    <col min="8964" max="8964" width="35.7109375" customWidth="1"/>
    <col min="8965" max="8965" width="4.85546875" bestFit="1" customWidth="1"/>
    <col min="8966" max="8966" width="7.7109375" customWidth="1"/>
    <col min="9219" max="9219" width="6.140625" bestFit="1" customWidth="1"/>
    <col min="9220" max="9220" width="35.7109375" customWidth="1"/>
    <col min="9221" max="9221" width="4.85546875" bestFit="1" customWidth="1"/>
    <col min="9222" max="9222" width="7.7109375" customWidth="1"/>
    <col min="9475" max="9475" width="6.140625" bestFit="1" customWidth="1"/>
    <col min="9476" max="9476" width="35.7109375" customWidth="1"/>
    <col min="9477" max="9477" width="4.85546875" bestFit="1" customWidth="1"/>
    <col min="9478" max="9478" width="7.7109375" customWidth="1"/>
    <col min="9731" max="9731" width="6.140625" bestFit="1" customWidth="1"/>
    <col min="9732" max="9732" width="35.7109375" customWidth="1"/>
    <col min="9733" max="9733" width="4.85546875" bestFit="1" customWidth="1"/>
    <col min="9734" max="9734" width="7.7109375" customWidth="1"/>
    <col min="9987" max="9987" width="6.140625" bestFit="1" customWidth="1"/>
    <col min="9988" max="9988" width="35.7109375" customWidth="1"/>
    <col min="9989" max="9989" width="4.85546875" bestFit="1" customWidth="1"/>
    <col min="9990" max="9990" width="7.7109375" customWidth="1"/>
    <col min="10243" max="10243" width="6.140625" bestFit="1" customWidth="1"/>
    <col min="10244" max="10244" width="35.7109375" customWidth="1"/>
    <col min="10245" max="10245" width="4.85546875" bestFit="1" customWidth="1"/>
    <col min="10246" max="10246" width="7.7109375" customWidth="1"/>
    <col min="10499" max="10499" width="6.140625" bestFit="1" customWidth="1"/>
    <col min="10500" max="10500" width="35.7109375" customWidth="1"/>
    <col min="10501" max="10501" width="4.85546875" bestFit="1" customWidth="1"/>
    <col min="10502" max="10502" width="7.7109375" customWidth="1"/>
    <col min="10755" max="10755" width="6.140625" bestFit="1" customWidth="1"/>
    <col min="10756" max="10756" width="35.7109375" customWidth="1"/>
    <col min="10757" max="10757" width="4.85546875" bestFit="1" customWidth="1"/>
    <col min="10758" max="10758" width="7.7109375" customWidth="1"/>
    <col min="11011" max="11011" width="6.140625" bestFit="1" customWidth="1"/>
    <col min="11012" max="11012" width="35.7109375" customWidth="1"/>
    <col min="11013" max="11013" width="4.85546875" bestFit="1" customWidth="1"/>
    <col min="11014" max="11014" width="7.7109375" customWidth="1"/>
    <col min="11267" max="11267" width="6.140625" bestFit="1" customWidth="1"/>
    <col min="11268" max="11268" width="35.7109375" customWidth="1"/>
    <col min="11269" max="11269" width="4.85546875" bestFit="1" customWidth="1"/>
    <col min="11270" max="11270" width="7.7109375" customWidth="1"/>
    <col min="11523" max="11523" width="6.140625" bestFit="1" customWidth="1"/>
    <col min="11524" max="11524" width="35.7109375" customWidth="1"/>
    <col min="11525" max="11525" width="4.85546875" bestFit="1" customWidth="1"/>
    <col min="11526" max="11526" width="7.7109375" customWidth="1"/>
    <col min="11779" max="11779" width="6.140625" bestFit="1" customWidth="1"/>
    <col min="11780" max="11780" width="35.7109375" customWidth="1"/>
    <col min="11781" max="11781" width="4.85546875" bestFit="1" customWidth="1"/>
    <col min="11782" max="11782" width="7.7109375" customWidth="1"/>
    <col min="12035" max="12035" width="6.140625" bestFit="1" customWidth="1"/>
    <col min="12036" max="12036" width="35.7109375" customWidth="1"/>
    <col min="12037" max="12037" width="4.85546875" bestFit="1" customWidth="1"/>
    <col min="12038" max="12038" width="7.7109375" customWidth="1"/>
    <col min="12291" max="12291" width="6.140625" bestFit="1" customWidth="1"/>
    <col min="12292" max="12292" width="35.7109375" customWidth="1"/>
    <col min="12293" max="12293" width="4.85546875" bestFit="1" customWidth="1"/>
    <col min="12294" max="12294" width="7.7109375" customWidth="1"/>
    <col min="12547" max="12547" width="6.140625" bestFit="1" customWidth="1"/>
    <col min="12548" max="12548" width="35.7109375" customWidth="1"/>
    <col min="12549" max="12549" width="4.85546875" bestFit="1" customWidth="1"/>
    <col min="12550" max="12550" width="7.7109375" customWidth="1"/>
    <col min="12803" max="12803" width="6.140625" bestFit="1" customWidth="1"/>
    <col min="12804" max="12804" width="35.7109375" customWidth="1"/>
    <col min="12805" max="12805" width="4.85546875" bestFit="1" customWidth="1"/>
    <col min="12806" max="12806" width="7.7109375" customWidth="1"/>
    <col min="13059" max="13059" width="6.140625" bestFit="1" customWidth="1"/>
    <col min="13060" max="13060" width="35.7109375" customWidth="1"/>
    <col min="13061" max="13061" width="4.85546875" bestFit="1" customWidth="1"/>
    <col min="13062" max="13062" width="7.7109375" customWidth="1"/>
    <col min="13315" max="13315" width="6.140625" bestFit="1" customWidth="1"/>
    <col min="13316" max="13316" width="35.7109375" customWidth="1"/>
    <col min="13317" max="13317" width="4.85546875" bestFit="1" customWidth="1"/>
    <col min="13318" max="13318" width="7.7109375" customWidth="1"/>
    <col min="13571" max="13571" width="6.140625" bestFit="1" customWidth="1"/>
    <col min="13572" max="13572" width="35.7109375" customWidth="1"/>
    <col min="13573" max="13573" width="4.85546875" bestFit="1" customWidth="1"/>
    <col min="13574" max="13574" width="7.7109375" customWidth="1"/>
    <col min="13827" max="13827" width="6.140625" bestFit="1" customWidth="1"/>
    <col min="13828" max="13828" width="35.7109375" customWidth="1"/>
    <col min="13829" max="13829" width="4.85546875" bestFit="1" customWidth="1"/>
    <col min="13830" max="13830" width="7.7109375" customWidth="1"/>
    <col min="14083" max="14083" width="6.140625" bestFit="1" customWidth="1"/>
    <col min="14084" max="14084" width="35.7109375" customWidth="1"/>
    <col min="14085" max="14085" width="4.85546875" bestFit="1" customWidth="1"/>
    <col min="14086" max="14086" width="7.7109375" customWidth="1"/>
    <col min="14339" max="14339" width="6.140625" bestFit="1" customWidth="1"/>
    <col min="14340" max="14340" width="35.7109375" customWidth="1"/>
    <col min="14341" max="14341" width="4.85546875" bestFit="1" customWidth="1"/>
    <col min="14342" max="14342" width="7.7109375" customWidth="1"/>
    <col min="14595" max="14595" width="6.140625" bestFit="1" customWidth="1"/>
    <col min="14596" max="14596" width="35.7109375" customWidth="1"/>
    <col min="14597" max="14597" width="4.85546875" bestFit="1" customWidth="1"/>
    <col min="14598" max="14598" width="7.7109375" customWidth="1"/>
    <col min="14851" max="14851" width="6.140625" bestFit="1" customWidth="1"/>
    <col min="14852" max="14852" width="35.7109375" customWidth="1"/>
    <col min="14853" max="14853" width="4.85546875" bestFit="1" customWidth="1"/>
    <col min="14854" max="14854" width="7.7109375" customWidth="1"/>
    <col min="15107" max="15107" width="6.140625" bestFit="1" customWidth="1"/>
    <col min="15108" max="15108" width="35.7109375" customWidth="1"/>
    <col min="15109" max="15109" width="4.85546875" bestFit="1" customWidth="1"/>
    <col min="15110" max="15110" width="7.7109375" customWidth="1"/>
    <col min="15363" max="15363" width="6.140625" bestFit="1" customWidth="1"/>
    <col min="15364" max="15364" width="35.7109375" customWidth="1"/>
    <col min="15365" max="15365" width="4.85546875" bestFit="1" customWidth="1"/>
    <col min="15366" max="15366" width="7.7109375" customWidth="1"/>
    <col min="15619" max="15619" width="6.140625" bestFit="1" customWidth="1"/>
    <col min="15620" max="15620" width="35.7109375" customWidth="1"/>
    <col min="15621" max="15621" width="4.85546875" bestFit="1" customWidth="1"/>
    <col min="15622" max="15622" width="7.7109375" customWidth="1"/>
    <col min="15875" max="15875" width="6.140625" bestFit="1" customWidth="1"/>
    <col min="15876" max="15876" width="35.7109375" customWidth="1"/>
    <col min="15877" max="15877" width="4.85546875" bestFit="1" customWidth="1"/>
    <col min="15878" max="15878" width="7.7109375" customWidth="1"/>
    <col min="16131" max="16131" width="6.140625" bestFit="1" customWidth="1"/>
    <col min="16132" max="16132" width="35.7109375" customWidth="1"/>
    <col min="16133" max="16133" width="4.85546875" bestFit="1" customWidth="1"/>
    <col min="16134" max="16134" width="7.7109375" customWidth="1"/>
  </cols>
  <sheetData>
    <row r="1" spans="1:15" ht="42" customHeight="1" thickBot="1">
      <c r="A1" s="72" t="s">
        <v>244</v>
      </c>
      <c r="B1" s="435" t="s">
        <v>349</v>
      </c>
      <c r="C1" s="436"/>
      <c r="D1" s="436"/>
      <c r="E1" s="436"/>
      <c r="F1" s="437"/>
      <c r="G1" s="436"/>
      <c r="H1" s="436"/>
      <c r="I1" s="438"/>
      <c r="J1" s="229" t="s">
        <v>227</v>
      </c>
      <c r="K1" s="439">
        <f ca="1">'Тека ГП'!C4</f>
        <v>46211</v>
      </c>
      <c r="L1" s="440"/>
    </row>
    <row r="2" spans="1:15" ht="88.5" customHeight="1" thickBot="1">
      <c r="A2" s="73" t="s">
        <v>245</v>
      </c>
      <c r="B2" s="441" t="s">
        <v>248</v>
      </c>
      <c r="C2" s="176" t="s">
        <v>350</v>
      </c>
      <c r="D2" s="155" t="s">
        <v>351</v>
      </c>
      <c r="E2" s="177" t="s">
        <v>352</v>
      </c>
      <c r="F2" s="155" t="s">
        <v>353</v>
      </c>
      <c r="G2" s="356" t="s">
        <v>354</v>
      </c>
      <c r="H2" s="443"/>
      <c r="I2" s="178" t="s">
        <v>355</v>
      </c>
      <c r="J2" s="179" t="s">
        <v>314</v>
      </c>
      <c r="K2" s="178" t="s">
        <v>356</v>
      </c>
      <c r="L2" s="179" t="s">
        <v>357</v>
      </c>
    </row>
    <row r="3" spans="1:15" s="184" customFormat="1" ht="41.25" thickBot="1">
      <c r="A3" s="180"/>
      <c r="B3" s="442"/>
      <c r="C3" s="181"/>
      <c r="D3" s="155" t="s">
        <v>358</v>
      </c>
      <c r="E3" s="177"/>
      <c r="F3" s="155" t="s">
        <v>359</v>
      </c>
      <c r="G3" s="181" t="s">
        <v>360</v>
      </c>
      <c r="H3" s="182" t="s">
        <v>361</v>
      </c>
      <c r="I3" s="178" t="s">
        <v>362</v>
      </c>
      <c r="J3" s="183"/>
      <c r="K3" s="179"/>
      <c r="L3" s="182"/>
    </row>
    <row r="4" spans="1:15" s="77" customFormat="1" ht="30" customHeight="1">
      <c r="A4" s="74">
        <v>6478</v>
      </c>
      <c r="B4" s="398" t="s">
        <v>130</v>
      </c>
      <c r="C4" s="401"/>
      <c r="D4" s="185"/>
      <c r="E4" s="186"/>
      <c r="F4" s="186"/>
      <c r="G4" s="187"/>
      <c r="H4" s="188"/>
      <c r="I4" s="186"/>
      <c r="J4" s="185"/>
      <c r="K4" s="186"/>
      <c r="L4" s="228"/>
      <c r="N4" s="189"/>
    </row>
    <row r="5" spans="1:15" s="77" customFormat="1" ht="30" customHeight="1">
      <c r="A5" s="74"/>
      <c r="B5" s="399"/>
      <c r="C5" s="402"/>
      <c r="D5" s="190"/>
      <c r="E5" s="191"/>
      <c r="F5" s="191"/>
      <c r="G5" s="192"/>
      <c r="H5" s="193"/>
      <c r="I5" s="191"/>
      <c r="J5" s="190"/>
      <c r="K5" s="191"/>
      <c r="L5" s="194"/>
      <c r="N5" s="189"/>
      <c r="O5" s="195"/>
    </row>
    <row r="6" spans="1:15" s="77" customFormat="1" ht="30" customHeight="1">
      <c r="A6" s="74"/>
      <c r="B6" s="399"/>
      <c r="C6" s="402"/>
      <c r="D6" s="190"/>
      <c r="E6" s="191"/>
      <c r="F6" s="291"/>
      <c r="G6" s="192"/>
      <c r="H6" s="193"/>
      <c r="I6" s="191"/>
      <c r="J6" s="190"/>
      <c r="K6" s="191"/>
      <c r="L6" s="194"/>
      <c r="N6" s="189"/>
      <c r="O6" s="195"/>
    </row>
    <row r="7" spans="1:15" s="77" customFormat="1" ht="30" customHeight="1">
      <c r="A7" s="74"/>
      <c r="B7" s="399"/>
      <c r="C7" s="402"/>
      <c r="D7" s="190"/>
      <c r="E7" s="191"/>
      <c r="F7" s="191"/>
      <c r="G7" s="192"/>
      <c r="H7" s="193"/>
      <c r="I7" s="191"/>
      <c r="J7" s="190"/>
      <c r="K7" s="191"/>
      <c r="L7" s="194"/>
      <c r="N7" s="189"/>
      <c r="O7" s="195"/>
    </row>
    <row r="8" spans="1:15" s="77" customFormat="1" ht="30" customHeight="1">
      <c r="A8" s="74"/>
      <c r="B8" s="399"/>
      <c r="C8" s="402"/>
      <c r="D8" s="190"/>
      <c r="E8" s="191"/>
      <c r="F8" s="191"/>
      <c r="G8" s="192"/>
      <c r="H8" s="193"/>
      <c r="I8" s="191"/>
      <c r="J8" s="190"/>
      <c r="K8" s="191"/>
      <c r="L8" s="194"/>
      <c r="N8" s="189"/>
    </row>
    <row r="9" spans="1:15" s="77" customFormat="1" ht="30" customHeight="1">
      <c r="A9" s="74"/>
      <c r="B9" s="399"/>
      <c r="C9" s="402"/>
      <c r="D9" s="190"/>
      <c r="E9" s="191"/>
      <c r="F9" s="191"/>
      <c r="G9" s="192"/>
      <c r="H9" s="193"/>
      <c r="I9" s="191"/>
      <c r="J9" s="190"/>
      <c r="K9" s="191"/>
      <c r="L9" s="194"/>
      <c r="N9" s="189"/>
    </row>
    <row r="10" spans="1:15" s="77" customFormat="1" ht="30" customHeight="1">
      <c r="A10" s="74"/>
      <c r="B10" s="399"/>
      <c r="C10" s="402"/>
      <c r="D10" s="190"/>
      <c r="E10" s="191"/>
      <c r="F10" s="191"/>
      <c r="G10" s="192"/>
      <c r="H10" s="193"/>
      <c r="I10" s="191"/>
      <c r="J10" s="190"/>
      <c r="K10" s="191"/>
      <c r="L10" s="194"/>
      <c r="N10" s="189"/>
    </row>
    <row r="11" spans="1:15" s="77" customFormat="1" ht="30" customHeight="1">
      <c r="A11" s="74"/>
      <c r="B11" s="399"/>
      <c r="C11" s="402"/>
      <c r="D11" s="190"/>
      <c r="E11" s="191"/>
      <c r="F11" s="191"/>
      <c r="G11" s="192"/>
      <c r="H11" s="193"/>
      <c r="I11" s="191"/>
      <c r="J11" s="190"/>
      <c r="K11" s="191"/>
      <c r="L11" s="194"/>
      <c r="N11" s="189"/>
    </row>
    <row r="12" spans="1:15" s="77" customFormat="1" ht="30" customHeight="1" thickBot="1">
      <c r="A12" s="74"/>
      <c r="B12" s="399"/>
      <c r="C12" s="402"/>
      <c r="D12" s="190"/>
      <c r="E12" s="191"/>
      <c r="F12" s="191"/>
      <c r="G12" s="192"/>
      <c r="H12" s="193"/>
      <c r="I12" s="191"/>
      <c r="J12" s="190"/>
      <c r="K12" s="191"/>
      <c r="L12" s="194"/>
      <c r="N12" s="189"/>
    </row>
    <row r="13" spans="1:15" s="77" customFormat="1" ht="30" hidden="1" customHeight="1">
      <c r="A13" s="74"/>
      <c r="B13" s="399"/>
      <c r="C13" s="402"/>
      <c r="D13" s="190"/>
      <c r="E13" s="191"/>
      <c r="F13" s="191"/>
      <c r="G13" s="192"/>
      <c r="H13" s="193"/>
      <c r="I13" s="191"/>
      <c r="J13" s="190"/>
      <c r="K13" s="191"/>
      <c r="L13" s="194"/>
      <c r="N13" s="189"/>
    </row>
    <row r="14" spans="1:15" s="77" customFormat="1" ht="30" hidden="1" customHeight="1">
      <c r="A14" s="74"/>
      <c r="B14" s="399"/>
      <c r="C14" s="402"/>
      <c r="D14" s="190"/>
      <c r="E14" s="191"/>
      <c r="F14" s="191"/>
      <c r="G14" s="192"/>
      <c r="H14" s="193"/>
      <c r="I14" s="191"/>
      <c r="J14" s="190"/>
      <c r="K14" s="191"/>
      <c r="L14" s="194"/>
      <c r="N14" s="189"/>
    </row>
    <row r="15" spans="1:15" s="77" customFormat="1" ht="30" hidden="1" customHeight="1">
      <c r="A15" s="74"/>
      <c r="B15" s="399"/>
      <c r="C15" s="402"/>
      <c r="D15" s="190"/>
      <c r="E15" s="191"/>
      <c r="F15" s="191"/>
      <c r="G15" s="192"/>
      <c r="H15" s="193"/>
      <c r="I15" s="191"/>
      <c r="J15" s="190"/>
      <c r="K15" s="191"/>
      <c r="L15" s="194"/>
      <c r="N15" s="189"/>
    </row>
    <row r="16" spans="1:15" s="77" customFormat="1" ht="30" hidden="1" customHeight="1">
      <c r="A16" s="74"/>
      <c r="B16" s="399"/>
      <c r="C16" s="402"/>
      <c r="D16" s="190"/>
      <c r="E16" s="191"/>
      <c r="F16" s="191"/>
      <c r="G16" s="192"/>
      <c r="H16" s="193"/>
      <c r="I16" s="191"/>
      <c r="J16" s="190"/>
      <c r="K16" s="191"/>
      <c r="L16" s="194"/>
      <c r="N16" s="189"/>
    </row>
    <row r="17" spans="1:14" s="77" customFormat="1" ht="30" hidden="1" customHeight="1">
      <c r="A17" s="74"/>
      <c r="B17" s="399"/>
      <c r="C17" s="402"/>
      <c r="D17" s="190"/>
      <c r="E17" s="191"/>
      <c r="F17" s="191"/>
      <c r="G17" s="192"/>
      <c r="H17" s="193"/>
      <c r="I17" s="191"/>
      <c r="J17" s="190"/>
      <c r="K17" s="191"/>
      <c r="L17" s="194"/>
      <c r="N17" s="189"/>
    </row>
    <row r="18" spans="1:14" s="77" customFormat="1" ht="30" hidden="1" customHeight="1">
      <c r="A18" s="74"/>
      <c r="B18" s="399"/>
      <c r="C18" s="402"/>
      <c r="D18" s="190"/>
      <c r="E18" s="191"/>
      <c r="F18" s="191"/>
      <c r="G18" s="192"/>
      <c r="H18" s="193"/>
      <c r="I18" s="191"/>
      <c r="J18" s="190"/>
      <c r="K18" s="191"/>
      <c r="L18" s="194"/>
      <c r="N18" s="189"/>
    </row>
    <row r="19" spans="1:14" s="77" customFormat="1" ht="30" hidden="1" customHeight="1">
      <c r="A19" s="74"/>
      <c r="B19" s="400"/>
      <c r="C19" s="403"/>
      <c r="D19" s="196"/>
      <c r="E19" s="197"/>
      <c r="F19" s="197"/>
      <c r="G19" s="198"/>
      <c r="H19" s="199"/>
      <c r="I19" s="197"/>
      <c r="J19" s="196"/>
      <c r="K19" s="197"/>
      <c r="L19" s="200"/>
      <c r="N19" s="189"/>
    </row>
    <row r="20" spans="1:14" s="77" customFormat="1" ht="30" customHeight="1">
      <c r="A20" s="74"/>
      <c r="B20" s="398" t="s">
        <v>363</v>
      </c>
      <c r="C20" s="401"/>
      <c r="D20" s="185"/>
      <c r="E20" s="186"/>
      <c r="F20" s="186"/>
      <c r="G20" s="187"/>
      <c r="H20" s="188"/>
      <c r="I20" s="186"/>
      <c r="J20" s="185"/>
      <c r="K20" s="186"/>
      <c r="L20" s="201"/>
      <c r="N20" s="189"/>
    </row>
    <row r="21" spans="1:14" s="77" customFormat="1" ht="30" customHeight="1">
      <c r="A21" s="74"/>
      <c r="B21" s="433"/>
      <c r="C21" s="434"/>
      <c r="D21" s="202"/>
      <c r="E21" s="203"/>
      <c r="F21" s="203"/>
      <c r="G21" s="204"/>
      <c r="H21" s="205"/>
      <c r="I21" s="203"/>
      <c r="J21" s="202"/>
      <c r="K21" s="203"/>
      <c r="L21" s="206"/>
      <c r="N21" s="189"/>
    </row>
    <row r="22" spans="1:14" s="77" customFormat="1" ht="30" customHeight="1">
      <c r="A22" s="74"/>
      <c r="B22" s="433"/>
      <c r="C22" s="434"/>
      <c r="D22" s="202"/>
      <c r="E22" s="203"/>
      <c r="F22" s="203"/>
      <c r="G22" s="204"/>
      <c r="H22" s="205"/>
      <c r="I22" s="203"/>
      <c r="J22" s="202"/>
      <c r="K22" s="203"/>
      <c r="L22" s="206"/>
      <c r="N22" s="189"/>
    </row>
    <row r="23" spans="1:14" s="77" customFormat="1" ht="30" customHeight="1">
      <c r="A23" s="74"/>
      <c r="B23" s="433"/>
      <c r="C23" s="434"/>
      <c r="D23" s="202"/>
      <c r="E23" s="203"/>
      <c r="F23" s="203"/>
      <c r="G23" s="204"/>
      <c r="H23" s="205"/>
      <c r="I23" s="203"/>
      <c r="J23" s="202"/>
      <c r="K23" s="203"/>
      <c r="L23" s="206"/>
      <c r="N23" s="189"/>
    </row>
    <row r="24" spans="1:14" s="77" customFormat="1" ht="30" customHeight="1">
      <c r="A24" s="74"/>
      <c r="B24" s="399"/>
      <c r="C24" s="402"/>
      <c r="D24" s="190"/>
      <c r="E24" s="191"/>
      <c r="F24" s="191"/>
      <c r="G24" s="192"/>
      <c r="H24" s="193"/>
      <c r="I24" s="191"/>
      <c r="J24" s="190"/>
      <c r="K24" s="191"/>
      <c r="L24" s="194"/>
      <c r="N24" s="189"/>
    </row>
    <row r="25" spans="1:14" s="77" customFormat="1" ht="30" customHeight="1" thickBot="1">
      <c r="A25" s="74"/>
      <c r="B25" s="400"/>
      <c r="C25" s="403"/>
      <c r="D25" s="196"/>
      <c r="E25" s="197"/>
      <c r="F25" s="197"/>
      <c r="G25" s="198"/>
      <c r="H25" s="199"/>
      <c r="I25" s="197"/>
      <c r="J25" s="196"/>
      <c r="K25" s="197"/>
      <c r="L25" s="200"/>
      <c r="N25" s="189"/>
    </row>
    <row r="26" spans="1:14" s="77" customFormat="1" ht="30" customHeight="1">
      <c r="A26" s="74"/>
      <c r="B26" s="398" t="s">
        <v>321</v>
      </c>
      <c r="C26" s="401"/>
      <c r="D26" s="185"/>
      <c r="E26" s="186"/>
      <c r="F26" s="186"/>
      <c r="G26" s="187"/>
      <c r="H26" s="188"/>
      <c r="I26" s="207"/>
      <c r="J26" s="185"/>
      <c r="K26" s="186"/>
      <c r="L26" s="201"/>
      <c r="N26" s="189"/>
    </row>
    <row r="27" spans="1:14" s="77" customFormat="1" ht="30" customHeight="1">
      <c r="A27" s="74"/>
      <c r="B27" s="399"/>
      <c r="C27" s="402"/>
      <c r="D27" s="190"/>
      <c r="E27" s="191"/>
      <c r="F27" s="191"/>
      <c r="G27" s="192"/>
      <c r="H27" s="193"/>
      <c r="I27" s="208"/>
      <c r="J27" s="190"/>
      <c r="K27" s="191"/>
      <c r="L27" s="194"/>
      <c r="N27" s="189"/>
    </row>
    <row r="28" spans="1:14" s="77" customFormat="1" ht="30" customHeight="1">
      <c r="A28" s="74"/>
      <c r="B28" s="399"/>
      <c r="C28" s="402"/>
      <c r="D28" s="190"/>
      <c r="E28" s="191"/>
      <c r="F28" s="191"/>
      <c r="G28" s="192"/>
      <c r="H28" s="193"/>
      <c r="I28" s="208"/>
      <c r="J28" s="190"/>
      <c r="K28" s="191"/>
      <c r="L28" s="194"/>
      <c r="N28" s="189"/>
    </row>
    <row r="29" spans="1:14" s="77" customFormat="1" ht="30" customHeight="1">
      <c r="A29" s="74"/>
      <c r="B29" s="399"/>
      <c r="C29" s="402"/>
      <c r="D29" s="190"/>
      <c r="E29" s="191"/>
      <c r="F29" s="191"/>
      <c r="G29" s="192"/>
      <c r="H29" s="193"/>
      <c r="I29" s="208"/>
      <c r="J29" s="190"/>
      <c r="K29" s="191"/>
      <c r="L29" s="194"/>
      <c r="N29" s="189"/>
    </row>
    <row r="30" spans="1:14" s="77" customFormat="1" ht="30" customHeight="1">
      <c r="A30" s="74"/>
      <c r="B30" s="399"/>
      <c r="C30" s="402"/>
      <c r="D30" s="190"/>
      <c r="E30" s="191"/>
      <c r="F30" s="191"/>
      <c r="G30" s="192"/>
      <c r="H30" s="193"/>
      <c r="I30" s="208"/>
      <c r="J30" s="190"/>
      <c r="K30" s="191"/>
      <c r="L30" s="194"/>
    </row>
    <row r="31" spans="1:14" s="77" customFormat="1" ht="30" customHeight="1">
      <c r="A31" s="74"/>
      <c r="B31" s="399"/>
      <c r="C31" s="402"/>
      <c r="D31" s="190"/>
      <c r="E31" s="191"/>
      <c r="F31" s="191"/>
      <c r="G31" s="192"/>
      <c r="H31" s="193"/>
      <c r="I31" s="208"/>
      <c r="J31" s="190"/>
      <c r="K31" s="191"/>
      <c r="L31" s="194"/>
    </row>
    <row r="32" spans="1:14" s="77" customFormat="1" ht="30" customHeight="1">
      <c r="A32" s="74"/>
      <c r="B32" s="399"/>
      <c r="C32" s="402"/>
      <c r="D32" s="190"/>
      <c r="E32" s="191"/>
      <c r="F32" s="191"/>
      <c r="G32" s="192"/>
      <c r="H32" s="193"/>
      <c r="I32" s="208"/>
      <c r="J32" s="190"/>
      <c r="K32" s="191"/>
      <c r="L32" s="194"/>
    </row>
    <row r="33" spans="1:12" s="77" customFormat="1" ht="30" customHeight="1">
      <c r="A33" s="74"/>
      <c r="B33" s="399"/>
      <c r="C33" s="402"/>
      <c r="D33" s="190"/>
      <c r="E33" s="191"/>
      <c r="F33" s="191"/>
      <c r="G33" s="192"/>
      <c r="H33" s="193"/>
      <c r="I33" s="208"/>
      <c r="J33" s="190"/>
      <c r="K33" s="191"/>
      <c r="L33" s="194"/>
    </row>
    <row r="34" spans="1:12" s="77" customFormat="1" ht="30" customHeight="1" thickBot="1">
      <c r="A34" s="74"/>
      <c r="B34" s="399"/>
      <c r="C34" s="402"/>
      <c r="D34" s="190"/>
      <c r="E34" s="191"/>
      <c r="F34" s="191"/>
      <c r="G34" s="192"/>
      <c r="H34" s="193"/>
      <c r="I34" s="208"/>
      <c r="J34" s="190"/>
      <c r="K34" s="191"/>
      <c r="L34" s="194"/>
    </row>
    <row r="35" spans="1:12" s="77" customFormat="1" ht="30" hidden="1" customHeight="1">
      <c r="A35" s="74"/>
      <c r="B35" s="399"/>
      <c r="C35" s="402"/>
      <c r="D35" s="190"/>
      <c r="E35" s="191"/>
      <c r="F35" s="191"/>
      <c r="G35" s="192"/>
      <c r="H35" s="193"/>
      <c r="I35" s="208"/>
      <c r="J35" s="190"/>
      <c r="K35" s="191"/>
      <c r="L35" s="194"/>
    </row>
    <row r="36" spans="1:12" s="77" customFormat="1" ht="30" hidden="1" customHeight="1">
      <c r="A36" s="74"/>
      <c r="B36" s="399"/>
      <c r="C36" s="402"/>
      <c r="D36" s="190"/>
      <c r="E36" s="191"/>
      <c r="F36" s="191"/>
      <c r="G36" s="192"/>
      <c r="H36" s="193"/>
      <c r="I36" s="208"/>
      <c r="J36" s="190"/>
      <c r="K36" s="191"/>
      <c r="L36" s="194"/>
    </row>
    <row r="37" spans="1:12" s="77" customFormat="1" ht="30" hidden="1" customHeight="1">
      <c r="A37" s="74"/>
      <c r="B37" s="399"/>
      <c r="C37" s="402"/>
      <c r="D37" s="190"/>
      <c r="E37" s="191"/>
      <c r="F37" s="191"/>
      <c r="G37" s="192"/>
      <c r="H37" s="193"/>
      <c r="I37" s="208"/>
      <c r="J37" s="190"/>
      <c r="K37" s="191"/>
      <c r="L37" s="194"/>
    </row>
    <row r="38" spans="1:12" s="77" customFormat="1" ht="30" hidden="1" customHeight="1">
      <c r="A38" s="74"/>
      <c r="B38" s="399"/>
      <c r="C38" s="402"/>
      <c r="D38" s="190"/>
      <c r="E38" s="191"/>
      <c r="F38" s="191"/>
      <c r="G38" s="192"/>
      <c r="H38" s="193"/>
      <c r="I38" s="208"/>
      <c r="J38" s="190"/>
      <c r="K38" s="191"/>
      <c r="L38" s="194"/>
    </row>
    <row r="39" spans="1:12" s="77" customFormat="1" ht="30" hidden="1" customHeight="1">
      <c r="A39" s="74"/>
      <c r="B39" s="399"/>
      <c r="C39" s="402"/>
      <c r="D39" s="190"/>
      <c r="E39" s="191"/>
      <c r="F39" s="191"/>
      <c r="G39" s="192"/>
      <c r="H39" s="193"/>
      <c r="I39" s="208"/>
      <c r="J39" s="190"/>
      <c r="K39" s="191"/>
      <c r="L39" s="194"/>
    </row>
    <row r="40" spans="1:12" s="77" customFormat="1" ht="30" hidden="1" customHeight="1">
      <c r="A40" s="74"/>
      <c r="B40" s="399"/>
      <c r="C40" s="402"/>
      <c r="D40" s="190"/>
      <c r="E40" s="191"/>
      <c r="F40" s="191"/>
      <c r="G40" s="192"/>
      <c r="H40" s="193"/>
      <c r="I40" s="208"/>
      <c r="J40" s="190"/>
      <c r="K40" s="191"/>
      <c r="L40" s="194"/>
    </row>
    <row r="41" spans="1:12" s="77" customFormat="1" ht="30" hidden="1" customHeight="1">
      <c r="A41" s="74"/>
      <c r="B41" s="399"/>
      <c r="C41" s="402"/>
      <c r="D41" s="190"/>
      <c r="E41" s="191"/>
      <c r="F41" s="191"/>
      <c r="G41" s="192"/>
      <c r="H41" s="193"/>
      <c r="I41" s="208"/>
      <c r="J41" s="190"/>
      <c r="K41" s="191"/>
      <c r="L41" s="194"/>
    </row>
    <row r="42" spans="1:12" s="77" customFormat="1" ht="30" hidden="1" customHeight="1">
      <c r="A42" s="74"/>
      <c r="B42" s="399"/>
      <c r="C42" s="402"/>
      <c r="D42" s="190"/>
      <c r="E42" s="191"/>
      <c r="F42" s="191"/>
      <c r="G42" s="192"/>
      <c r="H42" s="193"/>
      <c r="I42" s="208"/>
      <c r="J42" s="190"/>
      <c r="K42" s="191"/>
      <c r="L42" s="194"/>
    </row>
    <row r="43" spans="1:12" s="77" customFormat="1" ht="30" hidden="1" customHeight="1">
      <c r="A43" s="74"/>
      <c r="B43" s="399"/>
      <c r="C43" s="402"/>
      <c r="D43" s="190"/>
      <c r="E43" s="191"/>
      <c r="F43" s="191"/>
      <c r="G43" s="192"/>
      <c r="H43" s="193"/>
      <c r="I43" s="208"/>
      <c r="J43" s="190"/>
      <c r="K43" s="191"/>
      <c r="L43" s="194"/>
    </row>
    <row r="44" spans="1:12" ht="30" hidden="1" customHeight="1">
      <c r="A44" s="79"/>
      <c r="B44" s="399"/>
      <c r="C44" s="402"/>
      <c r="D44" s="190"/>
      <c r="E44" s="191"/>
      <c r="F44" s="191"/>
      <c r="G44" s="192"/>
      <c r="H44" s="193"/>
      <c r="I44" s="208"/>
      <c r="J44" s="190"/>
      <c r="K44" s="191"/>
      <c r="L44" s="194"/>
    </row>
    <row r="45" spans="1:12" ht="30" hidden="1" customHeight="1">
      <c r="A45" s="79"/>
      <c r="B45" s="400"/>
      <c r="C45" s="403"/>
      <c r="D45" s="196"/>
      <c r="E45" s="197"/>
      <c r="F45" s="197"/>
      <c r="G45" s="198"/>
      <c r="H45" s="199"/>
      <c r="I45" s="209"/>
      <c r="J45" s="196"/>
      <c r="K45" s="197"/>
      <c r="L45" s="200"/>
    </row>
    <row r="46" spans="1:12" ht="30" customHeight="1">
      <c r="A46" s="79"/>
      <c r="B46" s="398" t="s">
        <v>199</v>
      </c>
      <c r="C46" s="401"/>
      <c r="D46" s="185"/>
      <c r="E46" s="186"/>
      <c r="F46" s="186"/>
      <c r="G46" s="187"/>
      <c r="H46" s="188"/>
      <c r="I46" s="186"/>
      <c r="J46" s="185"/>
      <c r="K46" s="186"/>
      <c r="L46" s="201"/>
    </row>
    <row r="47" spans="1:12" ht="30" customHeight="1">
      <c r="A47" s="79"/>
      <c r="B47" s="399"/>
      <c r="C47" s="402"/>
      <c r="D47" s="190"/>
      <c r="E47" s="191"/>
      <c r="F47" s="191"/>
      <c r="G47" s="192"/>
      <c r="H47" s="193"/>
      <c r="I47" s="191"/>
      <c r="J47" s="190"/>
      <c r="K47" s="191"/>
      <c r="L47" s="194"/>
    </row>
    <row r="48" spans="1:12" ht="30" customHeight="1">
      <c r="A48" s="79"/>
      <c r="B48" s="399"/>
      <c r="C48" s="402"/>
      <c r="D48" s="190"/>
      <c r="E48" s="191"/>
      <c r="F48" s="191"/>
      <c r="G48" s="192"/>
      <c r="H48" s="193"/>
      <c r="I48" s="191"/>
      <c r="J48" s="190"/>
      <c r="K48" s="191"/>
      <c r="L48" s="194"/>
    </row>
    <row r="49" spans="1:12" ht="30" customHeight="1">
      <c r="B49" s="399"/>
      <c r="C49" s="402"/>
      <c r="D49" s="190"/>
      <c r="E49" s="191"/>
      <c r="F49" s="191"/>
      <c r="G49" s="192"/>
      <c r="H49" s="193"/>
      <c r="I49" s="191"/>
      <c r="J49" s="190"/>
      <c r="K49" s="191"/>
      <c r="L49" s="194"/>
    </row>
    <row r="50" spans="1:12" ht="30" customHeight="1">
      <c r="B50" s="399"/>
      <c r="C50" s="402"/>
      <c r="D50" s="190"/>
      <c r="E50" s="191"/>
      <c r="F50" s="191"/>
      <c r="G50" s="192"/>
      <c r="H50" s="193"/>
      <c r="I50" s="191"/>
      <c r="J50" s="190"/>
      <c r="K50" s="191"/>
      <c r="L50" s="194"/>
    </row>
    <row r="51" spans="1:12" ht="30" customHeight="1">
      <c r="B51" s="399"/>
      <c r="C51" s="402"/>
      <c r="D51" s="190"/>
      <c r="E51" s="191"/>
      <c r="F51" s="191"/>
      <c r="G51" s="192"/>
      <c r="H51" s="193"/>
      <c r="I51" s="191"/>
      <c r="J51" s="190"/>
      <c r="K51" s="191"/>
      <c r="L51" s="194"/>
    </row>
    <row r="52" spans="1:12" ht="30" customHeight="1">
      <c r="B52" s="399"/>
      <c r="C52" s="402"/>
      <c r="D52" s="190"/>
      <c r="E52" s="191"/>
      <c r="F52" s="191"/>
      <c r="G52" s="192"/>
      <c r="H52" s="193"/>
      <c r="I52" s="191"/>
      <c r="J52" s="190"/>
      <c r="K52" s="191"/>
      <c r="L52" s="194"/>
    </row>
    <row r="53" spans="1:12" ht="30" customHeight="1" thickBot="1">
      <c r="B53" s="400"/>
      <c r="C53" s="403"/>
      <c r="D53" s="196"/>
      <c r="E53" s="197"/>
      <c r="F53" s="197"/>
      <c r="G53" s="198"/>
      <c r="H53" s="199"/>
      <c r="I53" s="197"/>
      <c r="J53" s="196"/>
      <c r="K53" s="197"/>
      <c r="L53" s="200"/>
    </row>
    <row r="54" spans="1:12" ht="30" customHeight="1">
      <c r="A54" s="79"/>
      <c r="B54" s="398" t="s">
        <v>200</v>
      </c>
      <c r="C54" s="401"/>
      <c r="D54" s="185"/>
      <c r="E54" s="186"/>
      <c r="F54" s="186"/>
      <c r="G54" s="187"/>
      <c r="H54" s="188"/>
      <c r="I54" s="186"/>
      <c r="J54" s="185"/>
      <c r="K54" s="186"/>
      <c r="L54" s="201"/>
    </row>
    <row r="55" spans="1:12" ht="30" customHeight="1">
      <c r="A55" s="79"/>
      <c r="B55" s="399"/>
      <c r="C55" s="402"/>
      <c r="D55" s="190"/>
      <c r="E55" s="191"/>
      <c r="F55" s="191"/>
      <c r="G55" s="192"/>
      <c r="H55" s="193"/>
      <c r="I55" s="191"/>
      <c r="J55" s="190"/>
      <c r="K55" s="191"/>
      <c r="L55" s="194"/>
    </row>
    <row r="56" spans="1:12" ht="30" customHeight="1">
      <c r="A56" s="79"/>
      <c r="B56" s="399"/>
      <c r="C56" s="402"/>
      <c r="D56" s="190"/>
      <c r="E56" s="191"/>
      <c r="F56" s="191"/>
      <c r="G56" s="192"/>
      <c r="H56" s="193"/>
      <c r="I56" s="191"/>
      <c r="J56" s="190"/>
      <c r="K56" s="191"/>
      <c r="L56" s="194"/>
    </row>
    <row r="57" spans="1:12" ht="30" customHeight="1">
      <c r="B57" s="399"/>
      <c r="C57" s="402"/>
      <c r="D57" s="190"/>
      <c r="E57" s="191"/>
      <c r="F57" s="191"/>
      <c r="G57" s="192"/>
      <c r="H57" s="193"/>
      <c r="I57" s="191"/>
      <c r="J57" s="190"/>
      <c r="K57" s="191"/>
      <c r="L57" s="194"/>
    </row>
    <row r="58" spans="1:12" ht="30" customHeight="1">
      <c r="B58" s="399"/>
      <c r="C58" s="402"/>
      <c r="D58" s="190"/>
      <c r="E58" s="191"/>
      <c r="F58" s="191"/>
      <c r="G58" s="192"/>
      <c r="H58" s="193"/>
      <c r="I58" s="191"/>
      <c r="J58" s="190"/>
      <c r="K58" s="191"/>
      <c r="L58" s="194"/>
    </row>
    <row r="59" spans="1:12" ht="30" customHeight="1">
      <c r="B59" s="399"/>
      <c r="C59" s="402"/>
      <c r="D59" s="190"/>
      <c r="E59" s="191"/>
      <c r="F59" s="191"/>
      <c r="G59" s="192"/>
      <c r="H59" s="193"/>
      <c r="I59" s="191"/>
      <c r="J59" s="190"/>
      <c r="K59" s="191"/>
      <c r="L59" s="194"/>
    </row>
    <row r="60" spans="1:12" ht="30" customHeight="1">
      <c r="B60" s="399"/>
      <c r="C60" s="402"/>
      <c r="D60" s="190"/>
      <c r="E60" s="191"/>
      <c r="F60" s="191"/>
      <c r="G60" s="192"/>
      <c r="H60" s="193"/>
      <c r="I60" s="191"/>
      <c r="J60" s="190"/>
      <c r="K60" s="191"/>
      <c r="L60" s="194"/>
    </row>
    <row r="61" spans="1:12" ht="30" customHeight="1" thickBot="1">
      <c r="B61" s="400"/>
      <c r="C61" s="403"/>
      <c r="D61" s="196"/>
      <c r="E61" s="197"/>
      <c r="F61" s="197"/>
      <c r="G61" s="198"/>
      <c r="H61" s="199"/>
      <c r="I61" s="197"/>
      <c r="J61" s="196"/>
      <c r="K61" s="197"/>
      <c r="L61" s="200"/>
    </row>
    <row r="62" spans="1:12" ht="30" customHeight="1">
      <c r="A62" s="79"/>
      <c r="B62" s="398" t="s">
        <v>201</v>
      </c>
      <c r="C62" s="401"/>
      <c r="D62" s="185"/>
      <c r="E62" s="186"/>
      <c r="F62" s="186"/>
      <c r="G62" s="187"/>
      <c r="H62" s="188"/>
      <c r="I62" s="186"/>
      <c r="J62" s="185"/>
      <c r="K62" s="186"/>
      <c r="L62" s="201"/>
    </row>
    <row r="63" spans="1:12" ht="30" customHeight="1">
      <c r="A63" s="79"/>
      <c r="B63" s="399"/>
      <c r="C63" s="402"/>
      <c r="D63" s="190"/>
      <c r="E63" s="191"/>
      <c r="F63" s="191"/>
      <c r="G63" s="192"/>
      <c r="H63" s="193"/>
      <c r="I63" s="191"/>
      <c r="J63" s="190"/>
      <c r="K63" s="191"/>
      <c r="L63" s="194"/>
    </row>
    <row r="64" spans="1:12" ht="30" customHeight="1">
      <c r="A64" s="79"/>
      <c r="B64" s="399"/>
      <c r="C64" s="402"/>
      <c r="D64" s="190"/>
      <c r="E64" s="191"/>
      <c r="F64" s="191"/>
      <c r="G64" s="192"/>
      <c r="H64" s="193"/>
      <c r="I64" s="191"/>
      <c r="J64" s="190"/>
      <c r="K64" s="191"/>
      <c r="L64" s="194"/>
    </row>
    <row r="65" spans="1:12" ht="30" customHeight="1">
      <c r="B65" s="399"/>
      <c r="C65" s="402"/>
      <c r="D65" s="190"/>
      <c r="E65" s="191"/>
      <c r="F65" s="191"/>
      <c r="G65" s="192"/>
      <c r="H65" s="193"/>
      <c r="I65" s="191"/>
      <c r="J65" s="190"/>
      <c r="K65" s="191"/>
      <c r="L65" s="194"/>
    </row>
    <row r="66" spans="1:12" ht="30" customHeight="1" thickBot="1">
      <c r="B66" s="399"/>
      <c r="C66" s="402"/>
      <c r="D66" s="190"/>
      <c r="E66" s="191"/>
      <c r="F66" s="191"/>
      <c r="G66" s="192"/>
      <c r="H66" s="193"/>
      <c r="I66" s="191"/>
      <c r="J66" s="190"/>
      <c r="K66" s="191"/>
      <c r="L66" s="194"/>
    </row>
    <row r="67" spans="1:12" ht="30" hidden="1" customHeight="1">
      <c r="B67" s="399"/>
      <c r="C67" s="402"/>
      <c r="D67" s="190"/>
      <c r="E67" s="191"/>
      <c r="F67" s="191"/>
      <c r="G67" s="192"/>
      <c r="H67" s="193"/>
      <c r="I67" s="191"/>
      <c r="J67" s="190"/>
      <c r="K67" s="191"/>
      <c r="L67" s="194"/>
    </row>
    <row r="68" spans="1:12" ht="30" hidden="1" customHeight="1">
      <c r="B68" s="399"/>
      <c r="C68" s="402"/>
      <c r="D68" s="190"/>
      <c r="E68" s="191"/>
      <c r="F68" s="191"/>
      <c r="G68" s="192"/>
      <c r="H68" s="193"/>
      <c r="I68" s="191"/>
      <c r="J68" s="190"/>
      <c r="K68" s="191"/>
      <c r="L68" s="194"/>
    </row>
    <row r="69" spans="1:12" ht="30" hidden="1" customHeight="1">
      <c r="B69" s="400"/>
      <c r="C69" s="403"/>
      <c r="D69" s="196"/>
      <c r="E69" s="197"/>
      <c r="F69" s="197"/>
      <c r="G69" s="198"/>
      <c r="H69" s="199"/>
      <c r="I69" s="197"/>
      <c r="J69" s="196"/>
      <c r="K69" s="197"/>
      <c r="L69" s="200"/>
    </row>
    <row r="70" spans="1:12" ht="30" customHeight="1">
      <c r="A70" s="79"/>
      <c r="B70" s="398" t="s">
        <v>204</v>
      </c>
      <c r="C70" s="401"/>
      <c r="D70" s="185"/>
      <c r="E70" s="186"/>
      <c r="F70" s="186"/>
      <c r="G70" s="187"/>
      <c r="H70" s="188"/>
      <c r="I70" s="186"/>
      <c r="J70" s="185"/>
      <c r="K70" s="186"/>
      <c r="L70" s="201"/>
    </row>
    <row r="71" spans="1:12" ht="30" customHeight="1">
      <c r="A71" s="79"/>
      <c r="B71" s="399"/>
      <c r="C71" s="402"/>
      <c r="D71" s="190"/>
      <c r="E71" s="191"/>
      <c r="F71" s="191"/>
      <c r="G71" s="192"/>
      <c r="H71" s="193"/>
      <c r="I71" s="191"/>
      <c r="J71" s="190"/>
      <c r="K71" s="191"/>
      <c r="L71" s="194"/>
    </row>
    <row r="72" spans="1:12" ht="30" customHeight="1">
      <c r="A72" s="79"/>
      <c r="B72" s="399"/>
      <c r="C72" s="402"/>
      <c r="D72" s="190"/>
      <c r="E72" s="191"/>
      <c r="F72" s="191"/>
      <c r="G72" s="192"/>
      <c r="H72" s="193"/>
      <c r="I72" s="191"/>
      <c r="J72" s="190"/>
      <c r="K72" s="191"/>
      <c r="L72" s="194"/>
    </row>
    <row r="73" spans="1:12" ht="30" customHeight="1">
      <c r="B73" s="399"/>
      <c r="C73" s="402"/>
      <c r="D73" s="190"/>
      <c r="E73" s="191"/>
      <c r="F73" s="191"/>
      <c r="G73" s="192"/>
      <c r="H73" s="193"/>
      <c r="I73" s="191"/>
      <c r="J73" s="190"/>
      <c r="K73" s="191"/>
      <c r="L73" s="194"/>
    </row>
    <row r="74" spans="1:12" ht="30" customHeight="1">
      <c r="B74" s="399"/>
      <c r="C74" s="402"/>
      <c r="D74" s="190"/>
      <c r="E74" s="191"/>
      <c r="F74" s="191"/>
      <c r="G74" s="192"/>
      <c r="H74" s="193"/>
      <c r="I74" s="191"/>
      <c r="J74" s="190"/>
      <c r="K74" s="191"/>
      <c r="L74" s="194"/>
    </row>
    <row r="75" spans="1:12" ht="30" customHeight="1" thickBot="1">
      <c r="B75" s="399"/>
      <c r="C75" s="402"/>
      <c r="D75" s="190"/>
      <c r="E75" s="191"/>
      <c r="F75" s="191"/>
      <c r="G75" s="192"/>
      <c r="H75" s="193"/>
      <c r="I75" s="191"/>
      <c r="J75" s="190"/>
      <c r="K75" s="191"/>
      <c r="L75" s="194"/>
    </row>
    <row r="76" spans="1:12" ht="30" hidden="1" customHeight="1">
      <c r="B76" s="399"/>
      <c r="C76" s="402"/>
      <c r="D76" s="190"/>
      <c r="E76" s="191"/>
      <c r="F76" s="191"/>
      <c r="G76" s="192"/>
      <c r="H76" s="193"/>
      <c r="I76" s="191"/>
      <c r="J76" s="190"/>
      <c r="K76" s="191"/>
      <c r="L76" s="194"/>
    </row>
    <row r="77" spans="1:12" ht="30" hidden="1" customHeight="1">
      <c r="B77" s="400"/>
      <c r="C77" s="403"/>
      <c r="D77" s="196"/>
      <c r="E77" s="197"/>
      <c r="F77" s="197"/>
      <c r="G77" s="198"/>
      <c r="H77" s="199"/>
      <c r="I77" s="197"/>
      <c r="J77" s="196"/>
      <c r="K77" s="197"/>
      <c r="L77" s="200"/>
    </row>
    <row r="78" spans="1:12" ht="30" customHeight="1">
      <c r="B78" s="398" t="s">
        <v>364</v>
      </c>
      <c r="C78" s="401"/>
      <c r="D78" s="185"/>
      <c r="E78" s="186"/>
      <c r="F78" s="186"/>
      <c r="G78" s="187"/>
      <c r="H78" s="188"/>
      <c r="I78" s="186"/>
      <c r="J78" s="185"/>
      <c r="K78" s="186"/>
      <c r="L78" s="201"/>
    </row>
    <row r="79" spans="1:12" ht="30" customHeight="1">
      <c r="B79" s="399"/>
      <c r="C79" s="402"/>
      <c r="D79" s="190"/>
      <c r="E79" s="191"/>
      <c r="F79" s="191"/>
      <c r="G79" s="192"/>
      <c r="H79" s="193"/>
      <c r="I79" s="191"/>
      <c r="J79" s="190"/>
      <c r="K79" s="191"/>
      <c r="L79" s="194"/>
    </row>
    <row r="80" spans="1:12" ht="30" customHeight="1">
      <c r="B80" s="399"/>
      <c r="C80" s="402"/>
      <c r="D80" s="190"/>
      <c r="E80" s="191"/>
      <c r="F80" s="191"/>
      <c r="G80" s="192"/>
      <c r="H80" s="193"/>
      <c r="I80" s="191"/>
      <c r="J80" s="190"/>
      <c r="K80" s="191"/>
      <c r="L80" s="194"/>
    </row>
    <row r="81" spans="2:12" ht="30" customHeight="1">
      <c r="B81" s="399"/>
      <c r="C81" s="402"/>
      <c r="D81" s="190"/>
      <c r="E81" s="191"/>
      <c r="F81" s="191"/>
      <c r="G81" s="192"/>
      <c r="H81" s="193"/>
      <c r="I81" s="191"/>
      <c r="J81" s="190"/>
      <c r="K81" s="191"/>
      <c r="L81" s="194"/>
    </row>
    <row r="82" spans="2:12" ht="30" customHeight="1">
      <c r="B82" s="399"/>
      <c r="C82" s="402"/>
      <c r="D82" s="190"/>
      <c r="E82" s="191"/>
      <c r="F82" s="191"/>
      <c r="G82" s="192"/>
      <c r="H82" s="193"/>
      <c r="I82" s="191"/>
      <c r="J82" s="190"/>
      <c r="K82" s="191"/>
      <c r="L82" s="194"/>
    </row>
    <row r="83" spans="2:12" ht="30" customHeight="1" thickBot="1">
      <c r="B83" s="400"/>
      <c r="C83" s="403"/>
      <c r="D83" s="196"/>
      <c r="E83" s="197"/>
      <c r="F83" s="197"/>
      <c r="G83" s="198"/>
      <c r="H83" s="199"/>
      <c r="I83" s="197"/>
      <c r="J83" s="196"/>
      <c r="K83" s="197"/>
      <c r="L83" s="200"/>
    </row>
    <row r="84" spans="2:12" ht="30" customHeight="1">
      <c r="B84" s="398" t="s">
        <v>365</v>
      </c>
      <c r="C84" s="401"/>
      <c r="D84" s="185"/>
      <c r="E84" s="186"/>
      <c r="F84" s="186"/>
      <c r="G84" s="187"/>
      <c r="H84" s="188"/>
      <c r="I84" s="186"/>
      <c r="J84" s="185"/>
      <c r="K84" s="186"/>
      <c r="L84" s="201"/>
    </row>
    <row r="85" spans="2:12" ht="30" customHeight="1">
      <c r="B85" s="399"/>
      <c r="C85" s="402"/>
      <c r="D85" s="190"/>
      <c r="E85" s="191"/>
      <c r="F85" s="191"/>
      <c r="G85" s="192"/>
      <c r="H85" s="193"/>
      <c r="I85" s="191"/>
      <c r="J85" s="190"/>
      <c r="K85" s="191"/>
      <c r="L85" s="194"/>
    </row>
    <row r="86" spans="2:12" ht="30" customHeight="1">
      <c r="B86" s="399"/>
      <c r="C86" s="402"/>
      <c r="D86" s="190"/>
      <c r="E86" s="191"/>
      <c r="F86" s="191"/>
      <c r="G86" s="192"/>
      <c r="H86" s="193"/>
      <c r="I86" s="191"/>
      <c r="J86" s="190"/>
      <c r="K86" s="191"/>
      <c r="L86" s="194"/>
    </row>
    <row r="87" spans="2:12" ht="30" customHeight="1">
      <c r="B87" s="399"/>
      <c r="C87" s="402"/>
      <c r="D87" s="190"/>
      <c r="E87" s="191"/>
      <c r="F87" s="191"/>
      <c r="G87" s="192"/>
      <c r="H87" s="193"/>
      <c r="I87" s="191"/>
      <c r="J87" s="190"/>
      <c r="K87" s="191"/>
      <c r="L87" s="194"/>
    </row>
    <row r="88" spans="2:12" ht="30" customHeight="1">
      <c r="B88" s="399"/>
      <c r="C88" s="402"/>
      <c r="D88" s="190"/>
      <c r="E88" s="191"/>
      <c r="F88" s="191"/>
      <c r="G88" s="192"/>
      <c r="H88" s="193"/>
      <c r="I88" s="191"/>
      <c r="J88" s="190"/>
      <c r="K88" s="191"/>
      <c r="L88" s="194"/>
    </row>
    <row r="89" spans="2:12" ht="30" customHeight="1" thickBot="1">
      <c r="B89" s="400"/>
      <c r="C89" s="403"/>
      <c r="D89" s="196"/>
      <c r="E89" s="197"/>
      <c r="F89" s="197"/>
      <c r="G89" s="198"/>
      <c r="H89" s="199"/>
      <c r="I89" s="197"/>
      <c r="J89" s="196"/>
      <c r="K89" s="197"/>
      <c r="L89" s="200"/>
    </row>
    <row r="90" spans="2:12" ht="30" customHeight="1">
      <c r="B90" s="425" t="s">
        <v>203</v>
      </c>
      <c r="C90" s="429"/>
      <c r="D90" s="185"/>
      <c r="E90" s="186"/>
      <c r="F90" s="186"/>
      <c r="G90" s="187"/>
      <c r="H90" s="188"/>
      <c r="I90" s="186"/>
      <c r="J90" s="185"/>
      <c r="K90" s="186"/>
      <c r="L90" s="201"/>
    </row>
    <row r="91" spans="2:12" ht="30" customHeight="1">
      <c r="B91" s="426"/>
      <c r="C91" s="430"/>
      <c r="D91" s="202"/>
      <c r="E91" s="203"/>
      <c r="F91" s="203"/>
      <c r="G91" s="204"/>
      <c r="H91" s="205"/>
      <c r="I91" s="203"/>
      <c r="J91" s="202"/>
      <c r="K91" s="203"/>
      <c r="L91" s="206"/>
    </row>
    <row r="92" spans="2:12" ht="30" customHeight="1">
      <c r="B92" s="426"/>
      <c r="C92" s="430"/>
      <c r="D92" s="202"/>
      <c r="E92" s="203"/>
      <c r="F92" s="203"/>
      <c r="G92" s="204"/>
      <c r="H92" s="205"/>
      <c r="I92" s="203"/>
      <c r="J92" s="202"/>
      <c r="K92" s="203"/>
      <c r="L92" s="206"/>
    </row>
    <row r="93" spans="2:12" ht="30" customHeight="1">
      <c r="B93" s="427"/>
      <c r="C93" s="431"/>
      <c r="D93" s="190"/>
      <c r="E93" s="191"/>
      <c r="F93" s="191"/>
      <c r="G93" s="192"/>
      <c r="H93" s="193"/>
      <c r="I93" s="191"/>
      <c r="J93" s="190"/>
      <c r="K93" s="191"/>
      <c r="L93" s="194"/>
    </row>
    <row r="94" spans="2:12" ht="30" customHeight="1" thickBot="1">
      <c r="B94" s="428"/>
      <c r="C94" s="432"/>
      <c r="D94" s="196"/>
      <c r="E94" s="197"/>
      <c r="F94" s="197"/>
      <c r="G94" s="198"/>
      <c r="H94" s="199"/>
      <c r="I94" s="197"/>
      <c r="J94" s="196"/>
      <c r="K94" s="197"/>
      <c r="L94" s="200"/>
    </row>
    <row r="95" spans="2:12" ht="30" customHeight="1">
      <c r="B95" s="398" t="s">
        <v>366</v>
      </c>
      <c r="C95" s="401"/>
      <c r="D95" s="185"/>
      <c r="E95" s="186"/>
      <c r="F95" s="186"/>
      <c r="G95" s="187"/>
      <c r="H95" s="188"/>
      <c r="I95" s="186"/>
      <c r="J95" s="185"/>
      <c r="K95" s="186"/>
      <c r="L95" s="201"/>
    </row>
    <row r="96" spans="2:12" ht="30" customHeight="1">
      <c r="B96" s="399"/>
      <c r="C96" s="402"/>
      <c r="D96" s="190"/>
      <c r="E96" s="191"/>
      <c r="F96" s="191"/>
      <c r="G96" s="192"/>
      <c r="H96" s="193"/>
      <c r="I96" s="191"/>
      <c r="J96" s="190"/>
      <c r="K96" s="191"/>
      <c r="L96" s="194"/>
    </row>
    <row r="97" spans="2:12" ht="30" customHeight="1">
      <c r="B97" s="399"/>
      <c r="C97" s="402"/>
      <c r="D97" s="190"/>
      <c r="E97" s="191"/>
      <c r="F97" s="191"/>
      <c r="G97" s="192"/>
      <c r="H97" s="193"/>
      <c r="I97" s="191"/>
      <c r="J97" s="190"/>
      <c r="K97" s="191"/>
      <c r="L97" s="194"/>
    </row>
    <row r="98" spans="2:12" ht="30" customHeight="1">
      <c r="B98" s="399"/>
      <c r="C98" s="402"/>
      <c r="D98" s="190"/>
      <c r="E98" s="191"/>
      <c r="F98" s="191"/>
      <c r="G98" s="192"/>
      <c r="H98" s="193"/>
      <c r="I98" s="191"/>
      <c r="J98" s="190"/>
      <c r="K98" s="191"/>
      <c r="L98" s="194"/>
    </row>
    <row r="99" spans="2:12" ht="30" customHeight="1">
      <c r="B99" s="399"/>
      <c r="C99" s="402"/>
      <c r="D99" s="190"/>
      <c r="E99" s="191"/>
      <c r="F99" s="191"/>
      <c r="G99" s="192"/>
      <c r="H99" s="193"/>
      <c r="I99" s="191"/>
      <c r="J99" s="190"/>
      <c r="K99" s="191"/>
      <c r="L99" s="194"/>
    </row>
    <row r="100" spans="2:12" ht="30" customHeight="1">
      <c r="B100" s="399"/>
      <c r="C100" s="402"/>
      <c r="D100" s="190"/>
      <c r="E100" s="191"/>
      <c r="F100" s="191"/>
      <c r="G100" s="192"/>
      <c r="H100" s="193"/>
      <c r="I100" s="208"/>
      <c r="J100" s="190"/>
      <c r="K100" s="191"/>
      <c r="L100" s="194"/>
    </row>
    <row r="101" spans="2:12" ht="30" customHeight="1" thickBot="1">
      <c r="B101" s="399"/>
      <c r="C101" s="402"/>
      <c r="D101" s="190"/>
      <c r="E101" s="191"/>
      <c r="F101" s="191"/>
      <c r="G101" s="192"/>
      <c r="H101" s="193"/>
      <c r="I101" s="208"/>
      <c r="J101" s="190"/>
      <c r="K101" s="191"/>
      <c r="L101" s="194"/>
    </row>
    <row r="102" spans="2:12" ht="30" hidden="1" customHeight="1">
      <c r="B102" s="399"/>
      <c r="C102" s="402"/>
      <c r="D102" s="190"/>
      <c r="E102" s="191"/>
      <c r="F102" s="191"/>
      <c r="G102" s="192"/>
      <c r="H102" s="193"/>
      <c r="I102" s="208"/>
      <c r="J102" s="190"/>
      <c r="K102" s="191"/>
      <c r="L102" s="194"/>
    </row>
    <row r="103" spans="2:12" ht="30" hidden="1" customHeight="1">
      <c r="B103" s="400"/>
      <c r="C103" s="403"/>
      <c r="D103" s="196"/>
      <c r="E103" s="197"/>
      <c r="F103" s="197"/>
      <c r="G103" s="198"/>
      <c r="H103" s="199"/>
      <c r="I103" s="209"/>
      <c r="J103" s="196"/>
      <c r="K103" s="197"/>
      <c r="L103" s="200"/>
    </row>
    <row r="104" spans="2:12" ht="30" customHeight="1" thickBot="1">
      <c r="B104" s="210" t="s">
        <v>367</v>
      </c>
      <c r="C104" s="211"/>
      <c r="D104" s="212"/>
      <c r="E104" s="213"/>
      <c r="F104" s="404"/>
      <c r="G104" s="405"/>
      <c r="H104" s="405"/>
      <c r="I104" s="405"/>
      <c r="J104" s="406"/>
      <c r="K104" s="213"/>
      <c r="L104" s="214"/>
    </row>
    <row r="105" spans="2:12" ht="30" customHeight="1" thickBot="1">
      <c r="B105" s="210" t="s">
        <v>368</v>
      </c>
      <c r="C105" s="211"/>
      <c r="D105" s="212"/>
      <c r="E105" s="213"/>
      <c r="F105" s="407"/>
      <c r="G105" s="408"/>
      <c r="H105" s="408"/>
      <c r="I105" s="408"/>
      <c r="J105" s="409"/>
      <c r="K105" s="213"/>
      <c r="L105" s="214"/>
    </row>
    <row r="106" spans="2:12" ht="30" customHeight="1" thickBot="1">
      <c r="B106" s="215" t="s">
        <v>369</v>
      </c>
      <c r="C106" s="216"/>
      <c r="D106" s="217"/>
      <c r="E106" s="218"/>
      <c r="F106" s="407"/>
      <c r="G106" s="408"/>
      <c r="H106" s="408"/>
      <c r="I106" s="408"/>
      <c r="J106" s="409"/>
      <c r="K106" s="218"/>
      <c r="L106" s="219"/>
    </row>
    <row r="107" spans="2:12" ht="30" customHeight="1" thickBot="1">
      <c r="B107" s="215" t="s">
        <v>370</v>
      </c>
      <c r="C107" s="216"/>
      <c r="D107" s="217"/>
      <c r="E107" s="218"/>
      <c r="F107" s="407"/>
      <c r="G107" s="408"/>
      <c r="H107" s="408"/>
      <c r="I107" s="408"/>
      <c r="J107" s="409"/>
      <c r="K107" s="218"/>
      <c r="L107" s="219"/>
    </row>
    <row r="108" spans="2:12" ht="30" customHeight="1" thickBot="1">
      <c r="B108" s="215" t="s">
        <v>371</v>
      </c>
      <c r="C108" s="216"/>
      <c r="D108" s="217"/>
      <c r="E108" s="218"/>
      <c r="F108" s="407"/>
      <c r="G108" s="408"/>
      <c r="H108" s="408"/>
      <c r="I108" s="408"/>
      <c r="J108" s="409"/>
      <c r="K108" s="218"/>
      <c r="L108" s="219"/>
    </row>
    <row r="109" spans="2:12" ht="30" customHeight="1" thickBot="1">
      <c r="B109" s="215" t="s">
        <v>372</v>
      </c>
      <c r="C109" s="216"/>
      <c r="D109" s="217"/>
      <c r="E109" s="218"/>
      <c r="F109" s="407"/>
      <c r="G109" s="408"/>
      <c r="H109" s="408"/>
      <c r="I109" s="408"/>
      <c r="J109" s="409"/>
      <c r="K109" s="218"/>
      <c r="L109" s="219"/>
    </row>
    <row r="110" spans="2:12" ht="30" customHeight="1" thickBot="1">
      <c r="B110" s="220" t="s">
        <v>373</v>
      </c>
      <c r="C110" s="216"/>
      <c r="D110" s="217"/>
      <c r="E110" s="218"/>
      <c r="F110" s="407"/>
      <c r="G110" s="408"/>
      <c r="H110" s="408"/>
      <c r="I110" s="408"/>
      <c r="J110" s="409"/>
      <c r="K110" s="218"/>
      <c r="L110" s="219"/>
    </row>
    <row r="111" spans="2:12" ht="30" customHeight="1" thickBot="1">
      <c r="B111" s="211" t="s">
        <v>374</v>
      </c>
      <c r="C111" s="216"/>
      <c r="D111" s="217"/>
      <c r="E111" s="218"/>
      <c r="F111" s="407"/>
      <c r="G111" s="408"/>
      <c r="H111" s="408"/>
      <c r="I111" s="408"/>
      <c r="J111" s="409"/>
      <c r="K111" s="218"/>
      <c r="L111" s="219"/>
    </row>
    <row r="112" spans="2:12" ht="30" customHeight="1" thickBot="1">
      <c r="B112" s="221" t="s">
        <v>375</v>
      </c>
      <c r="C112" s="222"/>
      <c r="D112" s="212"/>
      <c r="E112" s="213"/>
      <c r="F112" s="407"/>
      <c r="G112" s="408"/>
      <c r="H112" s="408"/>
      <c r="I112" s="408"/>
      <c r="J112" s="409"/>
      <c r="K112" s="213"/>
      <c r="L112" s="214"/>
    </row>
    <row r="113" spans="2:12" ht="30" customHeight="1" thickBot="1">
      <c r="B113" s="223" t="s">
        <v>376</v>
      </c>
      <c r="C113" s="216"/>
      <c r="D113" s="217"/>
      <c r="E113" s="218"/>
      <c r="F113" s="410"/>
      <c r="G113" s="411"/>
      <c r="H113" s="411"/>
      <c r="I113" s="411"/>
      <c r="J113" s="412"/>
      <c r="K113" s="218"/>
      <c r="L113" s="219"/>
    </row>
    <row r="114" spans="2:12" ht="30" customHeight="1">
      <c r="B114" s="398" t="s">
        <v>377</v>
      </c>
      <c r="C114" s="224"/>
      <c r="D114" s="185"/>
      <c r="E114" s="186"/>
      <c r="F114" s="413"/>
      <c r="G114" s="414"/>
      <c r="H114" s="414"/>
      <c r="I114" s="414"/>
      <c r="J114" s="415"/>
      <c r="K114" s="186"/>
      <c r="L114" s="201"/>
    </row>
    <row r="115" spans="2:12" ht="30" customHeight="1">
      <c r="B115" s="399"/>
      <c r="C115" s="225"/>
      <c r="D115" s="190"/>
      <c r="E115" s="191"/>
      <c r="F115" s="416"/>
      <c r="G115" s="417"/>
      <c r="H115" s="417"/>
      <c r="I115" s="417"/>
      <c r="J115" s="418"/>
      <c r="K115" s="191"/>
      <c r="L115" s="194"/>
    </row>
    <row r="116" spans="2:12" ht="30" customHeight="1" thickBot="1">
      <c r="B116" s="399"/>
      <c r="C116" s="225"/>
      <c r="D116" s="190"/>
      <c r="E116" s="191"/>
      <c r="F116" s="416"/>
      <c r="G116" s="417"/>
      <c r="H116" s="417"/>
      <c r="I116" s="417"/>
      <c r="J116" s="418"/>
      <c r="K116" s="191"/>
      <c r="L116" s="194"/>
    </row>
    <row r="117" spans="2:12" ht="30" hidden="1" customHeight="1">
      <c r="B117" s="399"/>
      <c r="C117" s="225"/>
      <c r="D117" s="190"/>
      <c r="E117" s="191"/>
      <c r="F117" s="416"/>
      <c r="G117" s="417"/>
      <c r="H117" s="417"/>
      <c r="I117" s="417"/>
      <c r="J117" s="418"/>
      <c r="K117" s="191"/>
      <c r="L117" s="194"/>
    </row>
    <row r="118" spans="2:12" ht="30" hidden="1" customHeight="1">
      <c r="B118" s="399"/>
      <c r="C118" s="225"/>
      <c r="D118" s="190"/>
      <c r="E118" s="191"/>
      <c r="F118" s="416"/>
      <c r="G118" s="417"/>
      <c r="H118" s="417"/>
      <c r="I118" s="417"/>
      <c r="J118" s="418"/>
      <c r="K118" s="191"/>
      <c r="L118" s="194"/>
    </row>
    <row r="119" spans="2:12" ht="30" hidden="1" customHeight="1">
      <c r="B119" s="400"/>
      <c r="C119" s="226"/>
      <c r="D119" s="196"/>
      <c r="E119" s="197"/>
      <c r="F119" s="419"/>
      <c r="G119" s="420"/>
      <c r="H119" s="420"/>
      <c r="I119" s="420"/>
      <c r="J119" s="421"/>
      <c r="K119" s="197"/>
      <c r="L119" s="200"/>
    </row>
    <row r="120" spans="2:12" ht="30" customHeight="1" thickBot="1">
      <c r="B120" s="210" t="s">
        <v>378</v>
      </c>
      <c r="C120" s="227"/>
      <c r="D120" s="212"/>
      <c r="E120" s="213"/>
      <c r="F120" s="422"/>
      <c r="G120" s="423"/>
      <c r="H120" s="423"/>
      <c r="I120" s="423"/>
      <c r="J120" s="424"/>
      <c r="K120" s="213"/>
      <c r="L120" s="214"/>
    </row>
    <row r="121" spans="2:12" ht="15" customHeight="1">
      <c r="B121" s="392" t="s">
        <v>379</v>
      </c>
      <c r="C121" s="393"/>
      <c r="D121" s="393"/>
      <c r="E121" s="393"/>
      <c r="F121" s="393"/>
      <c r="G121" s="393"/>
      <c r="H121" s="393"/>
      <c r="I121" s="393"/>
      <c r="J121" s="394"/>
      <c r="K121" s="388"/>
      <c r="L121" s="389"/>
    </row>
    <row r="122" spans="2:12" ht="15.75" customHeight="1" thickBot="1">
      <c r="B122" s="395"/>
      <c r="C122" s="396"/>
      <c r="D122" s="396"/>
      <c r="E122" s="396"/>
      <c r="F122" s="396"/>
      <c r="G122" s="396"/>
      <c r="H122" s="396"/>
      <c r="I122" s="396"/>
      <c r="J122" s="397"/>
      <c r="K122" s="390"/>
      <c r="L122" s="391"/>
    </row>
  </sheetData>
  <mergeCells count="32">
    <mergeCell ref="B1:I1"/>
    <mergeCell ref="K1:L1"/>
    <mergeCell ref="B2:B3"/>
    <mergeCell ref="G2:H2"/>
    <mergeCell ref="B4:B19"/>
    <mergeCell ref="C4:C19"/>
    <mergeCell ref="B20:B25"/>
    <mergeCell ref="C20:C25"/>
    <mergeCell ref="B26:B45"/>
    <mergeCell ref="C26:C45"/>
    <mergeCell ref="B46:B53"/>
    <mergeCell ref="C46:C53"/>
    <mergeCell ref="B54:B61"/>
    <mergeCell ref="C54:C61"/>
    <mergeCell ref="B62:B69"/>
    <mergeCell ref="C62:C69"/>
    <mergeCell ref="B70:B77"/>
    <mergeCell ref="C70:C77"/>
    <mergeCell ref="B78:B83"/>
    <mergeCell ref="C78:C83"/>
    <mergeCell ref="B84:B89"/>
    <mergeCell ref="C84:C89"/>
    <mergeCell ref="B90:B94"/>
    <mergeCell ref="C90:C94"/>
    <mergeCell ref="K121:L122"/>
    <mergeCell ref="B121:J122"/>
    <mergeCell ref="B95:B103"/>
    <mergeCell ref="C95:C103"/>
    <mergeCell ref="F104:J113"/>
    <mergeCell ref="B114:B119"/>
    <mergeCell ref="F114:J119"/>
    <mergeCell ref="F120:J120"/>
  </mergeCells>
  <pageMargins left="0.70866141732283472" right="0.70866141732283472" top="0.74803149606299213" bottom="0.74803149606299213" header="0.31496062992125984" footer="0.31496062992125984"/>
  <pageSetup paperSize="9" scale="40" fitToHeight="0" orientation="landscape" blackAndWhite="1" r:id="rId1"/>
  <rowBreaks count="1" manualBreakCount="1">
    <brk id="53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8907-2BB1-4C2A-8BA6-951A690041BC}">
  <sheetPr codeName="Лист4">
    <pageSetUpPr fitToPage="1"/>
  </sheetPr>
  <dimension ref="A1:H15"/>
  <sheetViews>
    <sheetView view="pageBreakPreview" zoomScale="55" zoomScaleNormal="110" zoomScaleSheetLayoutView="55" workbookViewId="0">
      <selection activeCell="B2" sqref="B2:H2"/>
    </sheetView>
  </sheetViews>
  <sheetFormatPr defaultRowHeight="12.75"/>
  <cols>
    <col min="1" max="1" width="86.28515625" style="110" customWidth="1"/>
    <col min="2" max="8" width="34.7109375" style="110" customWidth="1"/>
    <col min="9" max="9" width="6.7109375" style="110" customWidth="1"/>
    <col min="10" max="16384" width="9.140625" style="110"/>
  </cols>
  <sheetData>
    <row r="1" spans="1:8" ht="54.75" customHeight="1">
      <c r="A1" s="444"/>
      <c r="B1" s="445"/>
      <c r="C1" s="445"/>
      <c r="D1" s="445"/>
      <c r="E1" s="445"/>
      <c r="F1" s="445"/>
      <c r="G1" s="445"/>
      <c r="H1" s="446"/>
    </row>
    <row r="2" spans="1:8" ht="39" customHeight="1">
      <c r="A2" s="141" t="s">
        <v>318</v>
      </c>
      <c r="B2" s="447">
        <f ca="1">'Тека ГП'!C4</f>
        <v>46211</v>
      </c>
      <c r="C2" s="448"/>
      <c r="D2" s="448"/>
      <c r="E2" s="448"/>
      <c r="F2" s="448"/>
      <c r="G2" s="448"/>
      <c r="H2" s="449"/>
    </row>
    <row r="3" spans="1:8" ht="39" customHeight="1">
      <c r="A3" s="111"/>
      <c r="B3" s="112" t="s">
        <v>319</v>
      </c>
      <c r="C3" s="113">
        <v>0.45833333333333331</v>
      </c>
      <c r="D3" s="113">
        <v>0.58333333333333337</v>
      </c>
      <c r="E3" s="113">
        <v>0.70833333333333337</v>
      </c>
      <c r="F3" s="113">
        <v>0.83333333333333337</v>
      </c>
      <c r="G3" s="114"/>
      <c r="H3" s="115"/>
    </row>
    <row r="4" spans="1:8" ht="54.95" customHeight="1">
      <c r="A4" s="116" t="s">
        <v>130</v>
      </c>
      <c r="B4" s="117"/>
      <c r="C4" s="118"/>
      <c r="D4" s="118"/>
      <c r="E4" s="119"/>
      <c r="F4" s="119"/>
      <c r="G4" s="119"/>
      <c r="H4" s="120"/>
    </row>
    <row r="5" spans="1:8" ht="54.95" customHeight="1">
      <c r="A5" s="116" t="s">
        <v>131</v>
      </c>
      <c r="B5" s="121"/>
      <c r="C5" s="118"/>
      <c r="D5" s="118"/>
      <c r="E5" s="119"/>
      <c r="F5" s="119"/>
      <c r="G5" s="119"/>
      <c r="H5" s="122"/>
    </row>
    <row r="6" spans="1:8" ht="54.95" customHeight="1">
      <c r="A6" s="116" t="s">
        <v>320</v>
      </c>
      <c r="B6" s="121"/>
      <c r="C6" s="118"/>
      <c r="D6" s="118"/>
      <c r="E6" s="119"/>
      <c r="F6" s="119"/>
      <c r="G6" s="119"/>
      <c r="H6" s="122"/>
    </row>
    <row r="7" spans="1:8" ht="54.95" customHeight="1">
      <c r="A7" s="116" t="s">
        <v>321</v>
      </c>
      <c r="B7" s="117"/>
      <c r="C7" s="118"/>
      <c r="D7" s="118"/>
      <c r="E7" s="119"/>
      <c r="F7" s="119"/>
      <c r="G7" s="119"/>
      <c r="H7" s="123"/>
    </row>
    <row r="8" spans="1:8" ht="54.95" customHeight="1">
      <c r="A8" s="124" t="s">
        <v>322</v>
      </c>
      <c r="B8" s="125"/>
      <c r="C8" s="126"/>
      <c r="D8" s="126"/>
      <c r="E8" s="127"/>
      <c r="F8" s="127"/>
      <c r="G8" s="127"/>
      <c r="H8" s="128"/>
    </row>
    <row r="9" spans="1:8" ht="54.95" customHeight="1">
      <c r="A9" s="124" t="s">
        <v>323</v>
      </c>
      <c r="B9" s="125"/>
      <c r="C9" s="126"/>
      <c r="D9" s="126"/>
      <c r="E9" s="127"/>
      <c r="F9" s="127"/>
      <c r="G9" s="127"/>
      <c r="H9" s="128"/>
    </row>
    <row r="10" spans="1:8" ht="54.95" customHeight="1">
      <c r="A10" s="124" t="s">
        <v>324</v>
      </c>
      <c r="B10" s="125"/>
      <c r="C10" s="126"/>
      <c r="D10" s="126"/>
      <c r="E10" s="127"/>
      <c r="F10" s="127"/>
      <c r="G10" s="127"/>
      <c r="H10" s="128"/>
    </row>
    <row r="11" spans="1:8" ht="54.95" customHeight="1">
      <c r="A11" s="124" t="s">
        <v>199</v>
      </c>
      <c r="B11" s="125"/>
      <c r="C11" s="126"/>
      <c r="D11" s="126"/>
      <c r="E11" s="127"/>
      <c r="F11" s="127"/>
      <c r="G11" s="127"/>
      <c r="H11" s="128"/>
    </row>
    <row r="12" spans="1:8" ht="54.95" customHeight="1" thickBot="1">
      <c r="A12" s="129" t="s">
        <v>325</v>
      </c>
      <c r="B12" s="130"/>
      <c r="C12" s="131"/>
      <c r="D12" s="131"/>
      <c r="E12" s="132"/>
      <c r="F12" s="132"/>
      <c r="G12" s="132"/>
      <c r="H12" s="133"/>
    </row>
    <row r="13" spans="1:8" ht="21.75" customHeight="1" thickBot="1">
      <c r="A13" s="134"/>
      <c r="B13" s="134"/>
      <c r="C13" s="134"/>
      <c r="D13" s="134"/>
      <c r="E13" s="134"/>
      <c r="F13" s="134"/>
      <c r="G13" s="134"/>
      <c r="H13" s="134"/>
    </row>
    <row r="14" spans="1:8" ht="40.5" customHeight="1" thickBot="1">
      <c r="C14" s="143"/>
      <c r="F14" s="135" t="s">
        <v>326</v>
      </c>
      <c r="G14" s="136"/>
      <c r="H14" s="137"/>
    </row>
    <row r="15" spans="1:8" ht="39.75" customHeight="1" thickBot="1">
      <c r="F15" s="138" t="s">
        <v>327</v>
      </c>
      <c r="G15" s="139"/>
      <c r="H15" s="140"/>
    </row>
  </sheetData>
  <mergeCells count="2">
    <mergeCell ref="A1:H1"/>
    <mergeCell ref="B2:H2"/>
  </mergeCells>
  <printOptions horizontalCentered="1"/>
  <pageMargins left="0.23622047244094491" right="0.23622047244094491" top="0" bottom="0" header="0.31496062992125984" footer="0.31496062992125984"/>
  <pageSetup paperSize="9" scale="43" orientation="landscape" blackAndWhite="1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56057-048D-4FAB-BA3B-D4332FE9B069}">
  <sheetPr codeName="Q13">
    <tabColor theme="0"/>
    <pageSetUpPr fitToPage="1"/>
  </sheetPr>
  <dimension ref="A1:H67"/>
  <sheetViews>
    <sheetView view="pageBreakPreview" zoomScale="115" zoomScaleNormal="85" zoomScaleSheetLayoutView="115" zoomScalePageLayoutView="70" workbookViewId="0">
      <selection activeCell="C53" sqref="C53"/>
    </sheetView>
  </sheetViews>
  <sheetFormatPr defaultRowHeight="15"/>
  <cols>
    <col min="1" max="1" width="65.7109375" customWidth="1"/>
    <col min="2" max="2" width="25.7109375" customWidth="1"/>
    <col min="3" max="3" width="20.5703125" customWidth="1"/>
    <col min="4" max="4" width="17.5703125" customWidth="1"/>
    <col min="5" max="5" width="7.5703125" hidden="1" customWidth="1"/>
  </cols>
  <sheetData>
    <row r="1" spans="1:5" ht="44.25" customHeight="1" thickBot="1">
      <c r="A1" s="450" t="s">
        <v>332</v>
      </c>
      <c r="B1" s="451"/>
      <c r="C1" s="154">
        <f ca="1">'Тека ГП'!C4</f>
        <v>46211</v>
      </c>
      <c r="E1" s="33">
        <v>1</v>
      </c>
    </row>
    <row r="2" spans="1:5" ht="21.75" thickBot="1">
      <c r="A2" s="151" t="s">
        <v>331</v>
      </c>
      <c r="B2" s="152" t="s">
        <v>229</v>
      </c>
      <c r="C2" s="153" t="s">
        <v>330</v>
      </c>
      <c r="D2" s="145"/>
      <c r="E2" s="33">
        <v>0</v>
      </c>
    </row>
    <row r="3" spans="1:5" ht="16.5" customHeight="1">
      <c r="A3" s="148" t="s">
        <v>103</v>
      </c>
      <c r="B3" s="149" t="str">
        <f>IF('Тека ГП'!B8="","",TEXT('Тека ГП'!B8, "ДД.ММ.ГГГГ"))</f>
        <v/>
      </c>
      <c r="C3" s="150" t="str">
        <f>IF('Тека ГП'!E8="","",TEXT('Тека ГП'!E8, "ДД.ММ.ГГГГ"))</f>
        <v>25.01.1900</v>
      </c>
    </row>
    <row r="4" spans="1:5">
      <c r="A4" s="1" t="s">
        <v>106</v>
      </c>
      <c r="B4" s="144" t="str">
        <f>IF('Тека ГП'!B9="","",TEXT('Тека ГП'!B9, "ДД.ММ.ГГГГ"))</f>
        <v/>
      </c>
      <c r="C4" s="146" t="str">
        <f>IF('Тека ГП'!E9="","",TEXT('Тека ГП'!E9, "ДД.ММ.ГГГГ"))</f>
        <v>25.01.1900</v>
      </c>
      <c r="E4" s="33">
        <v>0</v>
      </c>
    </row>
    <row r="5" spans="1:5">
      <c r="A5" s="1" t="s">
        <v>117</v>
      </c>
      <c r="B5" s="144" t="str">
        <f>IF('Тека ГП'!B10="","",TEXT('Тека ГП'!B10, "ДД.ММ.ГГГГ"))</f>
        <v/>
      </c>
      <c r="C5" s="146" t="str">
        <f>IF('Тека ГП'!E10="","",TEXT('Тека ГП'!E10, "ДД.ММ.ГГГГ"))</f>
        <v>25.01.1900</v>
      </c>
    </row>
    <row r="6" spans="1:5">
      <c r="A6" s="1" t="s">
        <v>234</v>
      </c>
      <c r="B6" s="144" t="str">
        <f>IF('Тека ГП'!B11="","",TEXT('Тека ГП'!B11, "ДД.ММ.ГГГГ"))</f>
        <v/>
      </c>
      <c r="C6" s="146" t="str">
        <f>IF('Тека ГП'!E11="","",TEXT('Тека ГП'!E11, "ДД.ММ.ГГГГ"))</f>
        <v>04.01.1900</v>
      </c>
    </row>
    <row r="7" spans="1:5">
      <c r="A7" s="1" t="s">
        <v>388</v>
      </c>
      <c r="B7" s="144" t="str">
        <f>IF('Тека ГП'!B12="","",TEXT('Тека ГП'!B12, "ДД.ММ.ГГГГ"))</f>
        <v/>
      </c>
      <c r="C7" s="146" t="str">
        <f>IF('Тека ГП'!E12="","",TEXT('Тека ГП'!E12, "ДД.ММ.ГГГГ"))</f>
        <v>25.01.1900</v>
      </c>
    </row>
    <row r="8" spans="1:5">
      <c r="A8" s="1" t="s">
        <v>123</v>
      </c>
      <c r="B8" s="144" t="str">
        <f>IF('Тека ГП'!B13="","",TEXT('Тека ГП'!B13, "ДД.ММ.ГГГГ"))</f>
        <v/>
      </c>
      <c r="C8" s="146" t="str">
        <f>IF('Тека ГП'!E13="","",TEXT('Тека ГП'!E13, "ДД.ММ.ГГГГ"))</f>
        <v>03.01.1900</v>
      </c>
    </row>
    <row r="9" spans="1:5">
      <c r="A9" s="1" t="s">
        <v>124</v>
      </c>
      <c r="B9" s="144" t="str">
        <f>IF('Тека ГП'!B14="","",TEXT('Тека ГП'!B14, "ДД.ММ.ГГГГ"))</f>
        <v/>
      </c>
      <c r="C9" s="146" t="str">
        <f>IF('Тека ГП'!E14="","",TEXT('Тека ГП'!E14, "ДД.ММ.ГГГГ"))</f>
        <v>03.01.1900</v>
      </c>
    </row>
    <row r="10" spans="1:5">
      <c r="A10" s="147" t="s">
        <v>210</v>
      </c>
      <c r="B10" s="144" t="str">
        <f>IF('Тека ГП'!B15="","",TEXT('Тека ГП'!B15, "ДД.ММ.ГГГГ"))</f>
        <v/>
      </c>
      <c r="C10" s="146" t="str">
        <f>IF('Тека ГП'!E15="","",TEXT('Тека ГП'!E15, "ДД.ММ.ГГГГ"))</f>
        <v>03.01.1900</v>
      </c>
    </row>
    <row r="11" spans="1:5">
      <c r="A11" s="1" t="s">
        <v>209</v>
      </c>
      <c r="B11" s="144" t="str">
        <f>IF('Тека ГП'!B16="","",TEXT('Тека ГП'!B16, "ДД.ММ.ГГГГ"))</f>
        <v/>
      </c>
      <c r="C11" s="146" t="str">
        <f>IF('Тека ГП'!E16="","",TEXT('Тека ГП'!E16, "ДД.ММ.ГГГГ"))</f>
        <v>03.01.1900</v>
      </c>
    </row>
    <row r="12" spans="1:5" ht="15" customHeight="1">
      <c r="A12" s="1" t="s">
        <v>127</v>
      </c>
      <c r="B12" s="144" t="str">
        <f>IF('Тека ГП'!B17="","",TEXT('Тека ГП'!B17, "ДД.ММ.ГГГГ"))</f>
        <v/>
      </c>
      <c r="C12" s="146" t="str">
        <f>IF('Тека ГП'!E17="","",TEXT('Тека ГП'!E17, "ДД.ММ.ГГГГ"))</f>
        <v>03.01.1900</v>
      </c>
    </row>
    <row r="13" spans="1:5">
      <c r="A13" s="3" t="s">
        <v>128</v>
      </c>
      <c r="B13" s="144" t="str">
        <f>IF('Тека ГП'!B18="","",TEXT('Тека ГП'!B18, "ДД.ММ.ГГГГ"))</f>
        <v/>
      </c>
      <c r="C13" s="146" t="str">
        <f>IF('Тека ГП'!E18="","",TEXT('Тека ГП'!E18, "ДД.ММ.ГГГГ"))</f>
        <v>03.01.1900</v>
      </c>
    </row>
    <row r="14" spans="1:5">
      <c r="A14" s="3" t="s">
        <v>308</v>
      </c>
      <c r="B14" s="144" t="str">
        <f>IF('Тека ГП'!B19="","",TEXT('Тека ГП'!B19, "ДД.ММ.ГГГГ"))</f>
        <v/>
      </c>
      <c r="C14" s="146" t="str">
        <f>IF('Тека ГП'!E19="","",TEXT('Тека ГП'!E19, "ДД.ММ.ГГГГ"))</f>
        <v>03.01.1900</v>
      </c>
    </row>
    <row r="15" spans="1:5">
      <c r="A15" s="3" t="s">
        <v>129</v>
      </c>
      <c r="B15" s="144" t="str">
        <f>IF('Тека ГП'!B20="","",TEXT('Тека ГП'!B20, "ДД.ММ.ГГГГ"))</f>
        <v/>
      </c>
      <c r="C15" s="146" t="str">
        <f>IF('Тека ГП'!E20="","",TEXT('Тека ГП'!E20, "ДД.ММ.ГГГГ"))</f>
        <v>03.01.1900</v>
      </c>
    </row>
    <row r="16" spans="1:5" ht="17.25" customHeight="1">
      <c r="A16" s="1" t="s">
        <v>176</v>
      </c>
      <c r="B16" s="144" t="str">
        <f>IF('Тека ГП'!B21="","",TEXT('Тека ГП'!B21, "ДД.ММ.ГГГГ"))</f>
        <v/>
      </c>
      <c r="C16" s="146" t="str">
        <f>IF('Тека ГП'!E21="","",TEXT('Тека ГП'!E21, "ДД.ММ.ГГГГ"))</f>
        <v>03.01.1900</v>
      </c>
    </row>
    <row r="17" spans="1:3" ht="17.25" customHeight="1">
      <c r="A17" s="1" t="s">
        <v>130</v>
      </c>
      <c r="B17" s="144" t="str">
        <f>IF('Тека ГП'!B22="","",TEXT('Тека ГП'!B22, "ДД.ММ.ГГГГ"))</f>
        <v/>
      </c>
      <c r="C17" s="146" t="str">
        <f>IF('Тека ГП'!E22="","",TEXT('Тека ГП'!E22, "ДД.ММ.ГГГГ"))</f>
        <v>03.01.1900</v>
      </c>
    </row>
    <row r="18" spans="1:3" ht="16.5" customHeight="1">
      <c r="A18" s="16" t="s">
        <v>179</v>
      </c>
      <c r="B18" s="144" t="str">
        <f>IF('Тека ГП'!B23="","",TEXT('Тека ГП'!B23, "ДД.ММ.ГГГГ"))</f>
        <v/>
      </c>
      <c r="C18" s="146" t="str">
        <f>IF('Тека ГП'!E23="","",TEXT('Тека ГП'!E23, "ДД.ММ.ГГГГ"))</f>
        <v>03.01.1900</v>
      </c>
    </row>
    <row r="19" spans="1:3" ht="16.5" customHeight="1">
      <c r="A19" s="16" t="s">
        <v>131</v>
      </c>
      <c r="B19" s="144" t="str">
        <f>IF('Тека ГП'!B24="","",TEXT('Тека ГП'!B24, "ДД.ММ.ГГГГ"))</f>
        <v/>
      </c>
      <c r="C19" s="146" t="str">
        <f>IF('Тека ГП'!E24="","",TEXT('Тека ГП'!E24, "ДД.ММ.ГГГГ"))</f>
        <v>03.01.1900</v>
      </c>
    </row>
    <row r="20" spans="1:3">
      <c r="A20" s="3" t="s">
        <v>180</v>
      </c>
      <c r="B20" s="144" t="str">
        <f>IF('Тека ГП'!B25="","",TEXT('Тека ГП'!B25, "ДД.ММ.ГГГГ"))</f>
        <v/>
      </c>
      <c r="C20" s="146" t="str">
        <f>IF('Тека ГП'!E25="","",TEXT('Тека ГП'!E25, "ДД.ММ.ГГГГ"))</f>
        <v>04.01.1900</v>
      </c>
    </row>
    <row r="21" spans="1:3" ht="17.25" customHeight="1">
      <c r="A21" s="3" t="s">
        <v>181</v>
      </c>
      <c r="B21" s="144" t="str">
        <f>IF('Тека ГП'!B26="","",TEXT('Тека ГП'!B26, "ДД.ММ.ГГГГ"))</f>
        <v/>
      </c>
      <c r="C21" s="146" t="str">
        <f>IF('Тека ГП'!E26="","",TEXT('Тека ГП'!E26, "ДД.ММ.ГГГГ"))</f>
        <v>04.01.1900</v>
      </c>
    </row>
    <row r="22" spans="1:3">
      <c r="A22" s="3" t="s">
        <v>132</v>
      </c>
      <c r="B22" s="144" t="str">
        <f>IF('Тека ГП'!B27="","",TEXT('Тека ГП'!B27, "ДД.ММ.ГГГГ"))</f>
        <v/>
      </c>
      <c r="C22" s="146" t="str">
        <f>IF('Тека ГП'!E27="","",TEXT('Тека ГП'!E27, "ДД.ММ.ГГГГ"))</f>
        <v>03.01.1900</v>
      </c>
    </row>
    <row r="23" spans="1:3">
      <c r="A23" s="3" t="s">
        <v>133</v>
      </c>
      <c r="B23" s="144" t="str">
        <f>IF('Тека ГП'!B28="","",TEXT('Тека ГП'!B28, "ДД.ММ.ГГГГ"))</f>
        <v/>
      </c>
      <c r="C23" s="146" t="str">
        <f>IF('Тека ГП'!E28="","",TEXT('Тека ГП'!E28, "ДД.ММ.ГГГГ"))</f>
        <v>04.01.1900</v>
      </c>
    </row>
    <row r="24" spans="1:3">
      <c r="A24" s="3" t="s">
        <v>134</v>
      </c>
      <c r="B24" s="144" t="str">
        <f>IF('Тека ГП'!B29="","",TEXT('Тека ГП'!B29, "ДД.ММ.ГГГГ"))</f>
        <v/>
      </c>
      <c r="C24" s="146" t="str">
        <f>IF('Тека ГП'!E29="","",TEXT('Тека ГП'!E29, "ДД.ММ.ГГГГ"))</f>
        <v>03.01.1900</v>
      </c>
    </row>
    <row r="25" spans="1:3">
      <c r="A25" s="3" t="s">
        <v>136</v>
      </c>
      <c r="B25" s="144" t="str">
        <f>IF('Тека ГП'!B30="","",TEXT('Тека ГП'!B30, "ДД.ММ.ГГГГ"))</f>
        <v/>
      </c>
      <c r="C25" s="146" t="str">
        <f>IF('Тека ГП'!E30="","",TEXT('Тека ГП'!E30, "ДД.ММ.ГГГГ"))</f>
        <v>25.01.1900</v>
      </c>
    </row>
    <row r="26" spans="1:3">
      <c r="A26" s="3" t="s">
        <v>231</v>
      </c>
      <c r="B26" s="144" t="str">
        <f>IF('Тека ГП'!B31="","",TEXT('Тека ГП'!B31, "ДД.ММ.ГГГГ"))</f>
        <v/>
      </c>
      <c r="C26" s="146" t="str">
        <f>IF('Тека ГП'!E31="","",TEXT('Тека ГП'!E31, "ДД.ММ.ГГГГ"))</f>
        <v>25.01.1900</v>
      </c>
    </row>
    <row r="27" spans="1:3">
      <c r="A27" s="3" t="s">
        <v>138</v>
      </c>
      <c r="B27" s="144" t="str">
        <f>IF('Тека ГП'!B32="","",TEXT('Тека ГП'!B32, "ДД.ММ.ГГГГ"))</f>
        <v/>
      </c>
      <c r="C27" s="146" t="str">
        <f>IF('Тека ГП'!E32="","",TEXT('Тека ГП'!E32, "ДД.ММ.ГГГГ"))</f>
        <v>03.01.1900</v>
      </c>
    </row>
    <row r="28" spans="1:3">
      <c r="A28" s="1" t="s">
        <v>144</v>
      </c>
      <c r="B28" s="144" t="str">
        <f>IF('Тека ГП'!B33="","",TEXT('Тека ГП'!B33, "ДД.ММ.ГГГГ"))</f>
        <v/>
      </c>
      <c r="C28" s="146" t="str">
        <f>IF('Тека ГП'!E33="","",TEXT('Тека ГП'!E33, "ДД.ММ.ГГГГ"))</f>
        <v>06.01.1900</v>
      </c>
    </row>
    <row r="29" spans="1:3">
      <c r="A29" s="1" t="s">
        <v>146</v>
      </c>
      <c r="B29" s="144" t="str">
        <f>IF('Тека ГП'!B34="","",TEXT('Тека ГП'!B34, "ДД.ММ.ГГГГ"))</f>
        <v/>
      </c>
      <c r="C29" s="146" t="str">
        <f>IF('Тека ГП'!E34="","",TEXT('Тека ГП'!E34, "ДД.ММ.ГГГГ"))</f>
        <v>06.01.1900</v>
      </c>
    </row>
    <row r="30" spans="1:3">
      <c r="A30" s="3" t="s">
        <v>147</v>
      </c>
      <c r="B30" s="144" t="str">
        <f>IF('Тека ГП'!B35="","",TEXT('Тека ГП'!B35, "ДД.ММ.ГГГГ"))</f>
        <v/>
      </c>
      <c r="C30" s="146" t="str">
        <f>IF('Тека ГП'!E35="","",TEXT('Тека ГП'!E35, "ДД.ММ.ГГГГ"))</f>
        <v>06.01.1900</v>
      </c>
    </row>
    <row r="31" spans="1:3">
      <c r="A31" s="3" t="s">
        <v>148</v>
      </c>
      <c r="B31" s="144" t="str">
        <f>IF('Тека ГП'!B36="","",TEXT('Тека ГП'!B36, "ДД.ММ.ГГГГ"))</f>
        <v/>
      </c>
      <c r="C31" s="146" t="str">
        <f>IF('Тека ГП'!E36="","",TEXT('Тека ГП'!E36, "ДД.ММ.ГГГГ"))</f>
        <v>06.01.1900</v>
      </c>
    </row>
    <row r="32" spans="1:3">
      <c r="A32" s="3" t="s">
        <v>150</v>
      </c>
      <c r="B32" s="144" t="str">
        <f>IF('Тека ГП'!B37="","",TEXT('Тека ГП'!B37, "ДД.ММ.ГГГГ"))</f>
        <v/>
      </c>
      <c r="C32" s="146" t="str">
        <f>IF('Тека ГП'!E37="","",TEXT('Тека ГП'!E37, "ДД.ММ.ГГГГ"))</f>
        <v>06.01.1900</v>
      </c>
    </row>
    <row r="33" spans="1:8" ht="13.5" customHeight="1">
      <c r="A33" s="3" t="s">
        <v>152</v>
      </c>
      <c r="B33" s="144" t="str">
        <f>IF('Тека ГП'!B38="","",TEXT('Тека ГП'!B38, "ДД.ММ.ГГГГ"))</f>
        <v/>
      </c>
      <c r="C33" s="146" t="str">
        <f>IF('Тека ГП'!E38="","",TEXT('Тека ГП'!E38, "ДД.ММ.ГГГГ"))</f>
        <v>06.01.1900</v>
      </c>
    </row>
    <row r="34" spans="1:8">
      <c r="A34" s="3" t="s">
        <v>154</v>
      </c>
      <c r="B34" s="144" t="str">
        <f>IF('Тека ГП'!B39="","",TEXT('Тека ГП'!B39, "ДД.ММ.ГГГГ"))</f>
        <v/>
      </c>
      <c r="C34" s="146" t="str">
        <f>IF('Тека ГП'!E39="","",TEXT('Тека ГП'!E39, "ДД.ММ.ГГГГ"))</f>
        <v>06.01.1900</v>
      </c>
    </row>
    <row r="35" spans="1:8">
      <c r="A35" s="3" t="s">
        <v>156</v>
      </c>
      <c r="B35" s="144" t="str">
        <f>IF('Тека ГП'!B40="","",TEXT('Тека ГП'!B40, "ДД.ММ.ГГГГ"))</f>
        <v/>
      </c>
      <c r="C35" s="146" t="str">
        <f>IF('Тека ГП'!E40="","",TEXT('Тека ГП'!E40, "ДД.ММ.ГГГГ"))</f>
        <v>06.01.1900</v>
      </c>
      <c r="H35" s="91"/>
    </row>
    <row r="36" spans="1:8">
      <c r="A36" s="3" t="s">
        <v>158</v>
      </c>
      <c r="B36" s="144" t="str">
        <f>IF('Тека ГП'!B41="","",TEXT('Тека ГП'!B41, "ДД.ММ.ГГГГ"))</f>
        <v/>
      </c>
      <c r="C36" s="146" t="str">
        <f>IF('Тека ГП'!E41="","",TEXT('Тека ГП'!E41, "ДД.ММ.ГГГГ"))</f>
        <v>20.01.1900</v>
      </c>
    </row>
    <row r="37" spans="1:8">
      <c r="A37" s="3" t="s">
        <v>160</v>
      </c>
      <c r="B37" s="144" t="str">
        <f>IF('Тека ГП'!B42="","",TEXT('Тека ГП'!B42, "ДД.ММ.ГГГГ"))</f>
        <v/>
      </c>
      <c r="C37" s="146" t="str">
        <f>IF('Тека ГП'!E42="","",TEXT('Тека ГП'!E42, "ДД.ММ.ГГГГ"))</f>
        <v>20.01.1900</v>
      </c>
    </row>
    <row r="38" spans="1:8" ht="15.75" customHeight="1">
      <c r="A38" s="3" t="s">
        <v>162</v>
      </c>
      <c r="B38" s="144" t="str">
        <f>IF('Тека ГП'!B43="","",TEXT('Тека ГП'!B43, "ДД.ММ.ГГГГ"))</f>
        <v/>
      </c>
      <c r="C38" s="146" t="str">
        <f>IF('Тека ГП'!E43="","",TEXT('Тека ГП'!E43, "ДД.ММ.ГГГГ"))</f>
        <v>20.01.1900</v>
      </c>
    </row>
    <row r="39" spans="1:8" ht="15.75" customHeight="1">
      <c r="A39" s="3" t="s">
        <v>164</v>
      </c>
      <c r="B39" s="144" t="str">
        <f>IF('Тека ГП'!B44="","",TEXT('Тека ГП'!B44, "ДД.ММ.ГГГГ"))</f>
        <v/>
      </c>
      <c r="C39" s="146" t="str">
        <f>IF('Тека ГП'!E44="","",TEXT('Тека ГП'!E44, "ДД.ММ.ГГГГ"))</f>
        <v>06.01.1900</v>
      </c>
      <c r="D39" s="91"/>
    </row>
    <row r="40" spans="1:8" ht="15.75" customHeight="1">
      <c r="A40" s="3" t="s">
        <v>166</v>
      </c>
      <c r="B40" s="144" t="str">
        <f>IF('Тека ГП'!B45="","",TEXT('Тека ГП'!B45, "ДД.ММ.ГГГГ"))</f>
        <v/>
      </c>
      <c r="C40" s="146" t="str">
        <f>IF('Тека ГП'!E45="","",TEXT('Тека ГП'!E45, "ДД.ММ.ГГГГ"))</f>
        <v>06.01.1900</v>
      </c>
    </row>
    <row r="41" spans="1:8" ht="15.75" customHeight="1">
      <c r="A41" s="3" t="s">
        <v>168</v>
      </c>
      <c r="B41" s="144" t="str">
        <f>IF('Тека ГП'!B46="","",TEXT('Тека ГП'!B46, "ДД.ММ.ГГГГ"))</f>
        <v/>
      </c>
      <c r="C41" s="146" t="str">
        <f>IF('Тека ГП'!E46="","",TEXT('Тека ГП'!E46, "ДД.ММ.ГГГГ"))</f>
        <v>06.01.1900</v>
      </c>
    </row>
    <row r="42" spans="1:8" ht="15.75" customHeight="1">
      <c r="A42" s="3" t="s">
        <v>170</v>
      </c>
      <c r="B42" s="144" t="str">
        <f>IF('Тека ГП'!B47="","",TEXT('Тека ГП'!B47, "ДД.ММ.ГГГГ"))</f>
        <v/>
      </c>
      <c r="C42" s="146" t="str">
        <f>IF('Тека ГП'!E47="","",TEXT('Тека ГП'!E47, "ДД.ММ.ГГГГ"))</f>
        <v>06.01.1900</v>
      </c>
    </row>
    <row r="43" spans="1:8" ht="18" customHeight="1">
      <c r="A43" s="3" t="s">
        <v>171</v>
      </c>
      <c r="B43" s="144" t="str">
        <f>IF('Тека ГП'!B48="","",TEXT('Тека ГП'!B48, "ДД.ММ.ГГГГ"))</f>
        <v/>
      </c>
      <c r="C43" s="146" t="str">
        <f>IF('Тека ГП'!E48="","",TEXT('Тека ГП'!E48, "ДД.ММ.ГГГГ"))</f>
        <v>06.01.1900</v>
      </c>
    </row>
    <row r="44" spans="1:8" ht="15.75" customHeight="1">
      <c r="A44" s="3" t="s">
        <v>173</v>
      </c>
      <c r="B44" s="144" t="str">
        <f>IF('Тека ГП'!B49="","",TEXT('Тека ГП'!B49, "ДД.ММ.ГГГГ"))</f>
        <v/>
      </c>
      <c r="C44" s="146" t="str">
        <f>IF('Тека ГП'!E49="","",TEXT('Тека ГП'!E49, "ДД.ММ.ГГГГ"))</f>
        <v>15.01.1900</v>
      </c>
    </row>
    <row r="45" spans="1:8">
      <c r="A45" s="3" t="s">
        <v>175</v>
      </c>
      <c r="B45" s="144" t="str">
        <f>IF('Тека ГП'!B50="","",TEXT('Тека ГП'!B50, "ДД.ММ.ГГГГ"))</f>
        <v/>
      </c>
      <c r="C45" s="146" t="str">
        <f>IF('Тека ГП'!E50="","",TEXT('Тека ГП'!E50, "ДД.ММ.ГГГГ"))</f>
        <v>06.01.1900</v>
      </c>
    </row>
    <row r="46" spans="1:8">
      <c r="A46" s="3" t="s">
        <v>223</v>
      </c>
      <c r="B46" s="144" t="str">
        <f>IF('Тека ГП'!B51="","",TEXT('Тека ГП'!B51, "ДД.ММ.ГГГГ"))</f>
        <v/>
      </c>
      <c r="C46" s="146" t="str">
        <f>IF('Тека ГП'!E51="","",TEXT('Тека ГП'!E51, "ДД.ММ.ГГГГ"))</f>
        <v>06.01.1900</v>
      </c>
    </row>
    <row r="47" spans="1:8">
      <c r="A47" s="3" t="s">
        <v>310</v>
      </c>
      <c r="B47" s="144" t="str">
        <f>IF('Тека ГП'!B52="","",TEXT('Тека ГП'!B52, "ДД.ММ.ГГГГ"))</f>
        <v/>
      </c>
      <c r="C47" s="146" t="str">
        <f>IF('Тека ГП'!E52="","",TEXT('Тека ГП'!E52, "ДД.ММ.ГГГГ"))</f>
        <v>06.01.1900</v>
      </c>
    </row>
    <row r="48" spans="1:8" ht="15" customHeight="1">
      <c r="A48" s="3" t="s">
        <v>398</v>
      </c>
      <c r="B48" s="144" t="str">
        <f>IF('Тека ГП'!B53="","",TEXT('Тека ГП'!B53, "ДД.ММ.ГГГГ"))</f>
        <v/>
      </c>
      <c r="C48" s="146" t="str">
        <f>IF('Тека ГП'!E53="","",TEXT('Тека ГП'!E53, "ДД.ММ.ГГГГ"))</f>
        <v>06.01.1900</v>
      </c>
    </row>
    <row r="49" spans="1:3" ht="13.5" customHeight="1">
      <c r="A49" s="3" t="s">
        <v>401</v>
      </c>
      <c r="B49" s="144" t="str">
        <f>IF('Тека ГП'!B54="","",TEXT('Тека ГП'!B54, "ДД.ММ.ГГГГ"))</f>
        <v/>
      </c>
      <c r="C49" s="146" t="str">
        <f>IF('Тека ГП'!E54="","",TEXT('Тека ГП'!E54, "ДД.ММ.ГГГГ"))</f>
        <v>06.01.1900</v>
      </c>
    </row>
    <row r="50" spans="1:3" ht="13.5" customHeight="1">
      <c r="A50" s="3" t="s">
        <v>402</v>
      </c>
      <c r="B50" s="144" t="str">
        <f>IF('Тека ГП'!B55="","",TEXT('Тека ГП'!B55, "ДД.ММ.ГГГГ"))</f>
        <v/>
      </c>
      <c r="C50" s="146" t="str">
        <f>IF('Тека ГП'!E55="","",TEXT('Тека ГП'!E55, "ДД.ММ.ГГГГ"))</f>
        <v>06.01.1900</v>
      </c>
    </row>
    <row r="51" spans="1:3" ht="13.5" customHeight="1">
      <c r="A51" s="3" t="s">
        <v>421</v>
      </c>
      <c r="B51" s="144" t="str">
        <f>IF('Тека ГП'!B56="","",TEXT('Тека ГП'!B56, "ДД.ММ.ГГГГ"))</f>
        <v/>
      </c>
      <c r="C51" s="146" t="str">
        <f>IF('Тека ГП'!E56="","",TEXT('Тека ГП'!E56, "ДД.ММ.ГГГГ"))</f>
        <v>25.01.1900</v>
      </c>
    </row>
    <row r="52" spans="1:3">
      <c r="A52" s="3" t="s">
        <v>420</v>
      </c>
      <c r="B52" s="262" t="str">
        <f>IF('Тека ГП'!B57="","",TEXT('Тека ГП'!B57, "ДД.ММ.ГГГГ"))</f>
        <v/>
      </c>
      <c r="C52" s="146" t="str">
        <f>IF('Тека ГП'!E57="","",TEXT('Тека ГП'!E57, "ДД.ММ.ГГГГ"))</f>
        <v>25.01.1900</v>
      </c>
    </row>
    <row r="53" spans="1:3">
      <c r="A53" s="3" t="s">
        <v>418</v>
      </c>
      <c r="B53" s="262" t="str">
        <f>IF('Тека ГП'!B58="","",TEXT('Тека ГП'!B58, "ДД.ММ.ГГГГ"))</f>
        <v/>
      </c>
      <c r="C53" s="146" t="str">
        <f>IF('Тека ГП'!E58="","",TEXT('Тека ГП'!E58, "ДД.ММ.ГГГГ"))</f>
        <v>30.01.1900</v>
      </c>
    </row>
    <row r="54" spans="1:3">
      <c r="A54" s="3" t="s">
        <v>419</v>
      </c>
      <c r="B54" s="292" t="str">
        <f>IF('Тека ГП'!B59="","",TEXT('Тека ГП'!B59, "ДД.ММ.ГГГГ"))</f>
        <v/>
      </c>
      <c r="C54" s="146" t="str">
        <f>IF('Тека ГП'!E59="","",TEXT('Тека ГП'!E59, "ДД.ММ.ГГГГ"))</f>
        <v>30.01.1900</v>
      </c>
    </row>
    <row r="55" spans="1:3">
      <c r="A55" s="3" t="s">
        <v>309</v>
      </c>
      <c r="B55" s="292" t="str">
        <f>IF('Тека ГП'!B60="","",TEXT('Тека ГП'!B60, "ДД.ММ.ГГГГ"))</f>
        <v/>
      </c>
      <c r="C55" s="146" t="str">
        <f>IF('Тека ГП'!E60="","",TEXT('Тека ГП'!E60, "ДД.ММ.ГГГГ"))</f>
        <v>03.01.1900</v>
      </c>
    </row>
    <row r="56" spans="1:3">
      <c r="A56" s="3" t="s">
        <v>380</v>
      </c>
      <c r="B56" s="292" t="str">
        <f>IF('Тека ГП'!B61="","",TEXT('Тека ГП'!B61, "ДД.ММ.ГГГГ"))</f>
        <v/>
      </c>
      <c r="C56" s="146" t="str">
        <f>IF('Тека ГП'!E61="","",TEXT('Тека ГП'!E61, "ДД.ММ.ГГГГ"))</f>
        <v>20.01.1900</v>
      </c>
    </row>
    <row r="57" spans="1:3">
      <c r="A57" s="3" t="s">
        <v>381</v>
      </c>
      <c r="B57" s="292" t="str">
        <f>IF('Тека ГП'!B62="","",TEXT('Тека ГП'!B62, "ДД.ММ.ГГГГ"))</f>
        <v/>
      </c>
      <c r="C57" s="146" t="str">
        <f>IF('Тека ГП'!E62="","",TEXT('Тека ГП'!E62, "ДД.ММ.ГГГГ"))</f>
        <v>20.01.1900</v>
      </c>
    </row>
    <row r="58" spans="1:3">
      <c r="A58" s="3" t="s">
        <v>382</v>
      </c>
      <c r="B58" s="292" t="str">
        <f>IF('Тека ГП'!B63="","",TEXT('Тека ГП'!B63, "ДД.ММ.ГГГГ"))</f>
        <v/>
      </c>
      <c r="C58" s="146" t="str">
        <f>IF('Тека ГП'!E63="","",TEXT('Тека ГП'!E63, "ДД.ММ.ГГГГ"))</f>
        <v>20.01.1900</v>
      </c>
    </row>
    <row r="59" spans="1:3" hidden="1">
      <c r="A59" s="3"/>
      <c r="B59" s="292"/>
      <c r="C59" s="146"/>
    </row>
    <row r="60" spans="1:3" hidden="1">
      <c r="A60" s="3"/>
      <c r="B60" s="292"/>
      <c r="C60" s="146"/>
    </row>
    <row r="61" spans="1:3" hidden="1">
      <c r="A61" s="3"/>
      <c r="B61" s="292"/>
      <c r="C61" s="146"/>
    </row>
    <row r="62" spans="1:3" hidden="1">
      <c r="A62" s="3"/>
      <c r="B62" s="292"/>
      <c r="C62" s="146"/>
    </row>
    <row r="63" spans="1:3" hidden="1">
      <c r="A63" s="3"/>
      <c r="B63" s="292"/>
      <c r="C63" s="146"/>
    </row>
    <row r="64" spans="1:3" hidden="1">
      <c r="A64" s="3"/>
      <c r="B64" s="292"/>
      <c r="C64" s="146"/>
    </row>
    <row r="65" spans="1:3" hidden="1">
      <c r="A65" s="3"/>
      <c r="B65" s="292"/>
      <c r="C65" s="146"/>
    </row>
    <row r="66" spans="1:3" hidden="1">
      <c r="A66" s="3"/>
      <c r="B66" s="292"/>
      <c r="C66" s="146"/>
    </row>
    <row r="67" spans="1:3" hidden="1">
      <c r="A67" s="3"/>
      <c r="B67" s="292"/>
      <c r="C67" s="146"/>
    </row>
  </sheetData>
  <mergeCells count="1">
    <mergeCell ref="A1:B1"/>
  </mergeCells>
  <conditionalFormatting sqref="C3:C9 C12:C40 C42:C67">
    <cfRule type="cellIs" dxfId="7" priority="8" stopIfTrue="1" operator="between">
      <formula>#REF!</formula>
      <formula>#REF!+#REF!</formula>
    </cfRule>
  </conditionalFormatting>
  <conditionalFormatting sqref="C11">
    <cfRule type="cellIs" dxfId="6" priority="5" stopIfTrue="1" operator="between">
      <formula>#REF!</formula>
      <formula>#REF!+#REF!</formula>
    </cfRule>
    <cfRule type="cellIs" dxfId="5" priority="6" stopIfTrue="1" operator="between">
      <formula>#REF!</formula>
      <formula>#REF!+#REF!</formula>
    </cfRule>
  </conditionalFormatting>
  <conditionalFormatting sqref="C3:C9 C12:C40 C42:C67">
    <cfRule type="cellIs" dxfId="4" priority="7" stopIfTrue="1" operator="between">
      <formula>#REF!</formula>
      <formula>#REF!+$E$1</formula>
    </cfRule>
  </conditionalFormatting>
  <conditionalFormatting sqref="C10">
    <cfRule type="cellIs" dxfId="3" priority="4" stopIfTrue="1" operator="between">
      <formula>#REF!</formula>
      <formula>#REF!+#REF!</formula>
    </cfRule>
  </conditionalFormatting>
  <conditionalFormatting sqref="C10">
    <cfRule type="cellIs" dxfId="2" priority="3" stopIfTrue="1" operator="between">
      <formula>#REF!</formula>
      <formula>#REF!+$E$1</formula>
    </cfRule>
  </conditionalFormatting>
  <conditionalFormatting sqref="C41">
    <cfRule type="cellIs" dxfId="1" priority="2" stopIfTrue="1" operator="between">
      <formula>#REF!</formula>
      <formula>#REF!+#REF!</formula>
    </cfRule>
  </conditionalFormatting>
  <conditionalFormatting sqref="C41">
    <cfRule type="cellIs" dxfId="0" priority="1" stopIfTrue="1" operator="between">
      <formula>#REF!</formula>
      <formula>#REF!+$E$1</formula>
    </cfRule>
  </conditionalFormatting>
  <printOptions horizontalCentered="1"/>
  <pageMargins left="0" right="0" top="0" bottom="0" header="0" footer="0"/>
  <pageSetup paperSize="9" scale="92" orientation="portrait" blackAndWhite="1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BBDB5-B21A-4F4C-85C0-3D9B3BAD7BD8}">
  <sheetPr codeName="Лист8">
    <pageSetUpPr fitToPage="1"/>
  </sheetPr>
  <dimension ref="A1:G82"/>
  <sheetViews>
    <sheetView view="pageBreakPreview" topLeftCell="A16" zoomScale="40" zoomScaleNormal="40" zoomScaleSheetLayoutView="40" workbookViewId="0">
      <selection activeCell="AY59" sqref="AY59"/>
    </sheetView>
  </sheetViews>
  <sheetFormatPr defaultRowHeight="15"/>
  <cols>
    <col min="1" max="1" width="234.42578125" bestFit="1" customWidth="1"/>
    <col min="2" max="2" width="77.7109375" bestFit="1" customWidth="1"/>
    <col min="3" max="3" width="10.7109375" bestFit="1" customWidth="1"/>
    <col min="7" max="7" width="9.140625" hidden="1" customWidth="1"/>
    <col min="234" max="234" width="6.140625" bestFit="1" customWidth="1"/>
    <col min="235" max="235" width="35.7109375" customWidth="1"/>
    <col min="236" max="236" width="4.85546875" bestFit="1" customWidth="1"/>
    <col min="237" max="237" width="7.7109375" customWidth="1"/>
    <col min="490" max="490" width="6.140625" bestFit="1" customWidth="1"/>
    <col min="491" max="491" width="35.7109375" customWidth="1"/>
    <col min="492" max="492" width="4.85546875" bestFit="1" customWidth="1"/>
    <col min="493" max="493" width="7.7109375" customWidth="1"/>
    <col min="746" max="746" width="6.140625" bestFit="1" customWidth="1"/>
    <col min="747" max="747" width="35.7109375" customWidth="1"/>
    <col min="748" max="748" width="4.85546875" bestFit="1" customWidth="1"/>
    <col min="749" max="749" width="7.7109375" customWidth="1"/>
    <col min="1002" max="1002" width="6.140625" bestFit="1" customWidth="1"/>
    <col min="1003" max="1003" width="35.7109375" customWidth="1"/>
    <col min="1004" max="1004" width="4.85546875" bestFit="1" customWidth="1"/>
    <col min="1005" max="1005" width="7.7109375" customWidth="1"/>
    <col min="1258" max="1258" width="6.140625" bestFit="1" customWidth="1"/>
    <col min="1259" max="1259" width="35.7109375" customWidth="1"/>
    <col min="1260" max="1260" width="4.85546875" bestFit="1" customWidth="1"/>
    <col min="1261" max="1261" width="7.7109375" customWidth="1"/>
    <col min="1514" max="1514" width="6.140625" bestFit="1" customWidth="1"/>
    <col min="1515" max="1515" width="35.7109375" customWidth="1"/>
    <col min="1516" max="1516" width="4.85546875" bestFit="1" customWidth="1"/>
    <col min="1517" max="1517" width="7.7109375" customWidth="1"/>
    <col min="1770" max="1770" width="6.140625" bestFit="1" customWidth="1"/>
    <col min="1771" max="1771" width="35.7109375" customWidth="1"/>
    <col min="1772" max="1772" width="4.85546875" bestFit="1" customWidth="1"/>
    <col min="1773" max="1773" width="7.7109375" customWidth="1"/>
    <col min="2026" max="2026" width="6.140625" bestFit="1" customWidth="1"/>
    <col min="2027" max="2027" width="35.7109375" customWidth="1"/>
    <col min="2028" max="2028" width="4.85546875" bestFit="1" customWidth="1"/>
    <col min="2029" max="2029" width="7.7109375" customWidth="1"/>
    <col min="2282" max="2282" width="6.140625" bestFit="1" customWidth="1"/>
    <col min="2283" max="2283" width="35.7109375" customWidth="1"/>
    <col min="2284" max="2284" width="4.85546875" bestFit="1" customWidth="1"/>
    <col min="2285" max="2285" width="7.7109375" customWidth="1"/>
    <col min="2538" max="2538" width="6.140625" bestFit="1" customWidth="1"/>
    <col min="2539" max="2539" width="35.7109375" customWidth="1"/>
    <col min="2540" max="2540" width="4.85546875" bestFit="1" customWidth="1"/>
    <col min="2541" max="2541" width="7.7109375" customWidth="1"/>
    <col min="2794" max="2794" width="6.140625" bestFit="1" customWidth="1"/>
    <col min="2795" max="2795" width="35.7109375" customWidth="1"/>
    <col min="2796" max="2796" width="4.85546875" bestFit="1" customWidth="1"/>
    <col min="2797" max="2797" width="7.7109375" customWidth="1"/>
    <col min="3050" max="3050" width="6.140625" bestFit="1" customWidth="1"/>
    <col min="3051" max="3051" width="35.7109375" customWidth="1"/>
    <col min="3052" max="3052" width="4.85546875" bestFit="1" customWidth="1"/>
    <col min="3053" max="3053" width="7.7109375" customWidth="1"/>
    <col min="3306" max="3306" width="6.140625" bestFit="1" customWidth="1"/>
    <col min="3307" max="3307" width="35.7109375" customWidth="1"/>
    <col min="3308" max="3308" width="4.85546875" bestFit="1" customWidth="1"/>
    <col min="3309" max="3309" width="7.7109375" customWidth="1"/>
    <col min="3562" max="3562" width="6.140625" bestFit="1" customWidth="1"/>
    <col min="3563" max="3563" width="35.7109375" customWidth="1"/>
    <col min="3564" max="3564" width="4.85546875" bestFit="1" customWidth="1"/>
    <col min="3565" max="3565" width="7.7109375" customWidth="1"/>
    <col min="3818" max="3818" width="6.140625" bestFit="1" customWidth="1"/>
    <col min="3819" max="3819" width="35.7109375" customWidth="1"/>
    <col min="3820" max="3820" width="4.85546875" bestFit="1" customWidth="1"/>
    <col min="3821" max="3821" width="7.7109375" customWidth="1"/>
    <col min="4074" max="4074" width="6.140625" bestFit="1" customWidth="1"/>
    <col min="4075" max="4075" width="35.7109375" customWidth="1"/>
    <col min="4076" max="4076" width="4.85546875" bestFit="1" customWidth="1"/>
    <col min="4077" max="4077" width="7.7109375" customWidth="1"/>
    <col min="4330" max="4330" width="6.140625" bestFit="1" customWidth="1"/>
    <col min="4331" max="4331" width="35.7109375" customWidth="1"/>
    <col min="4332" max="4332" width="4.85546875" bestFit="1" customWidth="1"/>
    <col min="4333" max="4333" width="7.7109375" customWidth="1"/>
    <col min="4586" max="4586" width="6.140625" bestFit="1" customWidth="1"/>
    <col min="4587" max="4587" width="35.7109375" customWidth="1"/>
    <col min="4588" max="4588" width="4.85546875" bestFit="1" customWidth="1"/>
    <col min="4589" max="4589" width="7.7109375" customWidth="1"/>
    <col min="4842" max="4842" width="6.140625" bestFit="1" customWidth="1"/>
    <col min="4843" max="4843" width="35.7109375" customWidth="1"/>
    <col min="4844" max="4844" width="4.85546875" bestFit="1" customWidth="1"/>
    <col min="4845" max="4845" width="7.7109375" customWidth="1"/>
    <col min="5098" max="5098" width="6.140625" bestFit="1" customWidth="1"/>
    <col min="5099" max="5099" width="35.7109375" customWidth="1"/>
    <col min="5100" max="5100" width="4.85546875" bestFit="1" customWidth="1"/>
    <col min="5101" max="5101" width="7.7109375" customWidth="1"/>
    <col min="5354" max="5354" width="6.140625" bestFit="1" customWidth="1"/>
    <col min="5355" max="5355" width="35.7109375" customWidth="1"/>
    <col min="5356" max="5356" width="4.85546875" bestFit="1" customWidth="1"/>
    <col min="5357" max="5357" width="7.7109375" customWidth="1"/>
    <col min="5610" max="5610" width="6.140625" bestFit="1" customWidth="1"/>
    <col min="5611" max="5611" width="35.7109375" customWidth="1"/>
    <col min="5612" max="5612" width="4.85546875" bestFit="1" customWidth="1"/>
    <col min="5613" max="5613" width="7.7109375" customWidth="1"/>
    <col min="5866" max="5866" width="6.140625" bestFit="1" customWidth="1"/>
    <col min="5867" max="5867" width="35.7109375" customWidth="1"/>
    <col min="5868" max="5868" width="4.85546875" bestFit="1" customWidth="1"/>
    <col min="5869" max="5869" width="7.7109375" customWidth="1"/>
    <col min="6122" max="6122" width="6.140625" bestFit="1" customWidth="1"/>
    <col min="6123" max="6123" width="35.7109375" customWidth="1"/>
    <col min="6124" max="6124" width="4.85546875" bestFit="1" customWidth="1"/>
    <col min="6125" max="6125" width="7.7109375" customWidth="1"/>
    <col min="6378" max="6378" width="6.140625" bestFit="1" customWidth="1"/>
    <col min="6379" max="6379" width="35.7109375" customWidth="1"/>
    <col min="6380" max="6380" width="4.85546875" bestFit="1" customWidth="1"/>
    <col min="6381" max="6381" width="7.7109375" customWidth="1"/>
    <col min="6634" max="6634" width="6.140625" bestFit="1" customWidth="1"/>
    <col min="6635" max="6635" width="35.7109375" customWidth="1"/>
    <col min="6636" max="6636" width="4.85546875" bestFit="1" customWidth="1"/>
    <col min="6637" max="6637" width="7.7109375" customWidth="1"/>
    <col min="6890" max="6890" width="6.140625" bestFit="1" customWidth="1"/>
    <col min="6891" max="6891" width="35.7109375" customWidth="1"/>
    <col min="6892" max="6892" width="4.85546875" bestFit="1" customWidth="1"/>
    <col min="6893" max="6893" width="7.7109375" customWidth="1"/>
    <col min="7146" max="7146" width="6.140625" bestFit="1" customWidth="1"/>
    <col min="7147" max="7147" width="35.7109375" customWidth="1"/>
    <col min="7148" max="7148" width="4.85546875" bestFit="1" customWidth="1"/>
    <col min="7149" max="7149" width="7.7109375" customWidth="1"/>
    <col min="7402" max="7402" width="6.140625" bestFit="1" customWidth="1"/>
    <col min="7403" max="7403" width="35.7109375" customWidth="1"/>
    <col min="7404" max="7404" width="4.85546875" bestFit="1" customWidth="1"/>
    <col min="7405" max="7405" width="7.7109375" customWidth="1"/>
    <col min="7658" max="7658" width="6.140625" bestFit="1" customWidth="1"/>
    <col min="7659" max="7659" width="35.7109375" customWidth="1"/>
    <col min="7660" max="7660" width="4.85546875" bestFit="1" customWidth="1"/>
    <col min="7661" max="7661" width="7.7109375" customWidth="1"/>
    <col min="7914" max="7914" width="6.140625" bestFit="1" customWidth="1"/>
    <col min="7915" max="7915" width="35.7109375" customWidth="1"/>
    <col min="7916" max="7916" width="4.85546875" bestFit="1" customWidth="1"/>
    <col min="7917" max="7917" width="7.7109375" customWidth="1"/>
    <col min="8170" max="8170" width="6.140625" bestFit="1" customWidth="1"/>
    <col min="8171" max="8171" width="35.7109375" customWidth="1"/>
    <col min="8172" max="8172" width="4.85546875" bestFit="1" customWidth="1"/>
    <col min="8173" max="8173" width="7.7109375" customWidth="1"/>
    <col min="8426" max="8426" width="6.140625" bestFit="1" customWidth="1"/>
    <col min="8427" max="8427" width="35.7109375" customWidth="1"/>
    <col min="8428" max="8428" width="4.85546875" bestFit="1" customWidth="1"/>
    <col min="8429" max="8429" width="7.7109375" customWidth="1"/>
    <col min="8682" max="8682" width="6.140625" bestFit="1" customWidth="1"/>
    <col min="8683" max="8683" width="35.7109375" customWidth="1"/>
    <col min="8684" max="8684" width="4.85546875" bestFit="1" customWidth="1"/>
    <col min="8685" max="8685" width="7.7109375" customWidth="1"/>
    <col min="8938" max="8938" width="6.140625" bestFit="1" customWidth="1"/>
    <col min="8939" max="8939" width="35.7109375" customWidth="1"/>
    <col min="8940" max="8940" width="4.85546875" bestFit="1" customWidth="1"/>
    <col min="8941" max="8941" width="7.7109375" customWidth="1"/>
    <col min="9194" max="9194" width="6.140625" bestFit="1" customWidth="1"/>
    <col min="9195" max="9195" width="35.7109375" customWidth="1"/>
    <col min="9196" max="9196" width="4.85546875" bestFit="1" customWidth="1"/>
    <col min="9197" max="9197" width="7.7109375" customWidth="1"/>
    <col min="9450" max="9450" width="6.140625" bestFit="1" customWidth="1"/>
    <col min="9451" max="9451" width="35.7109375" customWidth="1"/>
    <col min="9452" max="9452" width="4.85546875" bestFit="1" customWidth="1"/>
    <col min="9453" max="9453" width="7.7109375" customWidth="1"/>
    <col min="9706" max="9706" width="6.140625" bestFit="1" customWidth="1"/>
    <col min="9707" max="9707" width="35.7109375" customWidth="1"/>
    <col min="9708" max="9708" width="4.85546875" bestFit="1" customWidth="1"/>
    <col min="9709" max="9709" width="7.7109375" customWidth="1"/>
    <col min="9962" max="9962" width="6.140625" bestFit="1" customWidth="1"/>
    <col min="9963" max="9963" width="35.7109375" customWidth="1"/>
    <col min="9964" max="9964" width="4.85546875" bestFit="1" customWidth="1"/>
    <col min="9965" max="9965" width="7.7109375" customWidth="1"/>
    <col min="10218" max="10218" width="6.140625" bestFit="1" customWidth="1"/>
    <col min="10219" max="10219" width="35.7109375" customWidth="1"/>
    <col min="10220" max="10220" width="4.85546875" bestFit="1" customWidth="1"/>
    <col min="10221" max="10221" width="7.7109375" customWidth="1"/>
    <col min="10474" max="10474" width="6.140625" bestFit="1" customWidth="1"/>
    <col min="10475" max="10475" width="35.7109375" customWidth="1"/>
    <col min="10476" max="10476" width="4.85546875" bestFit="1" customWidth="1"/>
    <col min="10477" max="10477" width="7.7109375" customWidth="1"/>
    <col min="10730" max="10730" width="6.140625" bestFit="1" customWidth="1"/>
    <col min="10731" max="10731" width="35.7109375" customWidth="1"/>
    <col min="10732" max="10732" width="4.85546875" bestFit="1" customWidth="1"/>
    <col min="10733" max="10733" width="7.7109375" customWidth="1"/>
    <col min="10986" max="10986" width="6.140625" bestFit="1" customWidth="1"/>
    <col min="10987" max="10987" width="35.7109375" customWidth="1"/>
    <col min="10988" max="10988" width="4.85546875" bestFit="1" customWidth="1"/>
    <col min="10989" max="10989" width="7.7109375" customWidth="1"/>
    <col min="11242" max="11242" width="6.140625" bestFit="1" customWidth="1"/>
    <col min="11243" max="11243" width="35.7109375" customWidth="1"/>
    <col min="11244" max="11244" width="4.85546875" bestFit="1" customWidth="1"/>
    <col min="11245" max="11245" width="7.7109375" customWidth="1"/>
    <col min="11498" max="11498" width="6.140625" bestFit="1" customWidth="1"/>
    <col min="11499" max="11499" width="35.7109375" customWidth="1"/>
    <col min="11500" max="11500" width="4.85546875" bestFit="1" customWidth="1"/>
    <col min="11501" max="11501" width="7.7109375" customWidth="1"/>
    <col min="11754" max="11754" width="6.140625" bestFit="1" customWidth="1"/>
    <col min="11755" max="11755" width="35.7109375" customWidth="1"/>
    <col min="11756" max="11756" width="4.85546875" bestFit="1" customWidth="1"/>
    <col min="11757" max="11757" width="7.7109375" customWidth="1"/>
    <col min="12010" max="12010" width="6.140625" bestFit="1" customWidth="1"/>
    <col min="12011" max="12011" width="35.7109375" customWidth="1"/>
    <col min="12012" max="12012" width="4.85546875" bestFit="1" customWidth="1"/>
    <col min="12013" max="12013" width="7.7109375" customWidth="1"/>
    <col min="12266" max="12266" width="6.140625" bestFit="1" customWidth="1"/>
    <col min="12267" max="12267" width="35.7109375" customWidth="1"/>
    <col min="12268" max="12268" width="4.85546875" bestFit="1" customWidth="1"/>
    <col min="12269" max="12269" width="7.7109375" customWidth="1"/>
    <col min="12522" max="12522" width="6.140625" bestFit="1" customWidth="1"/>
    <col min="12523" max="12523" width="35.7109375" customWidth="1"/>
    <col min="12524" max="12524" width="4.85546875" bestFit="1" customWidth="1"/>
    <col min="12525" max="12525" width="7.7109375" customWidth="1"/>
    <col min="12778" max="12778" width="6.140625" bestFit="1" customWidth="1"/>
    <col min="12779" max="12779" width="35.7109375" customWidth="1"/>
    <col min="12780" max="12780" width="4.85546875" bestFit="1" customWidth="1"/>
    <col min="12781" max="12781" width="7.7109375" customWidth="1"/>
    <col min="13034" max="13034" width="6.140625" bestFit="1" customWidth="1"/>
    <col min="13035" max="13035" width="35.7109375" customWidth="1"/>
    <col min="13036" max="13036" width="4.85546875" bestFit="1" customWidth="1"/>
    <col min="13037" max="13037" width="7.7109375" customWidth="1"/>
    <col min="13290" max="13290" width="6.140625" bestFit="1" customWidth="1"/>
    <col min="13291" max="13291" width="35.7109375" customWidth="1"/>
    <col min="13292" max="13292" width="4.85546875" bestFit="1" customWidth="1"/>
    <col min="13293" max="13293" width="7.7109375" customWidth="1"/>
    <col min="13546" max="13546" width="6.140625" bestFit="1" customWidth="1"/>
    <col min="13547" max="13547" width="35.7109375" customWidth="1"/>
    <col min="13548" max="13548" width="4.85546875" bestFit="1" customWidth="1"/>
    <col min="13549" max="13549" width="7.7109375" customWidth="1"/>
    <col min="13802" max="13802" width="6.140625" bestFit="1" customWidth="1"/>
    <col min="13803" max="13803" width="35.7109375" customWidth="1"/>
    <col min="13804" max="13804" width="4.85546875" bestFit="1" customWidth="1"/>
    <col min="13805" max="13805" width="7.7109375" customWidth="1"/>
    <col min="14058" max="14058" width="6.140625" bestFit="1" customWidth="1"/>
    <col min="14059" max="14059" width="35.7109375" customWidth="1"/>
    <col min="14060" max="14060" width="4.85546875" bestFit="1" customWidth="1"/>
    <col min="14061" max="14061" width="7.7109375" customWidth="1"/>
    <col min="14314" max="14314" width="6.140625" bestFit="1" customWidth="1"/>
    <col min="14315" max="14315" width="35.7109375" customWidth="1"/>
    <col min="14316" max="14316" width="4.85546875" bestFit="1" customWidth="1"/>
    <col min="14317" max="14317" width="7.7109375" customWidth="1"/>
    <col min="14570" max="14570" width="6.140625" bestFit="1" customWidth="1"/>
    <col min="14571" max="14571" width="35.7109375" customWidth="1"/>
    <col min="14572" max="14572" width="4.85546875" bestFit="1" customWidth="1"/>
    <col min="14573" max="14573" width="7.7109375" customWidth="1"/>
    <col min="14826" max="14826" width="6.140625" bestFit="1" customWidth="1"/>
    <col min="14827" max="14827" width="35.7109375" customWidth="1"/>
    <col min="14828" max="14828" width="4.85546875" bestFit="1" customWidth="1"/>
    <col min="14829" max="14829" width="7.7109375" customWidth="1"/>
    <col min="15082" max="15082" width="6.140625" bestFit="1" customWidth="1"/>
    <col min="15083" max="15083" width="35.7109375" customWidth="1"/>
    <col min="15084" max="15084" width="4.85546875" bestFit="1" customWidth="1"/>
    <col min="15085" max="15085" width="7.7109375" customWidth="1"/>
    <col min="15338" max="15338" width="6.140625" bestFit="1" customWidth="1"/>
    <col min="15339" max="15339" width="35.7109375" customWidth="1"/>
    <col min="15340" max="15340" width="4.85546875" bestFit="1" customWidth="1"/>
    <col min="15341" max="15341" width="7.7109375" customWidth="1"/>
    <col min="15594" max="15594" width="6.140625" bestFit="1" customWidth="1"/>
    <col min="15595" max="15595" width="35.7109375" customWidth="1"/>
    <col min="15596" max="15596" width="4.85546875" bestFit="1" customWidth="1"/>
    <col min="15597" max="15597" width="7.7109375" customWidth="1"/>
    <col min="15850" max="15850" width="6.140625" bestFit="1" customWidth="1"/>
    <col min="15851" max="15851" width="35.7109375" customWidth="1"/>
    <col min="15852" max="15852" width="4.85546875" bestFit="1" customWidth="1"/>
    <col min="15853" max="15853" width="7.7109375" customWidth="1"/>
    <col min="16106" max="16106" width="6.140625" bestFit="1" customWidth="1"/>
    <col min="16107" max="16107" width="35.7109375" customWidth="1"/>
    <col min="16108" max="16108" width="4.85546875" bestFit="1" customWidth="1"/>
    <col min="16109" max="16109" width="7.7109375" customWidth="1"/>
  </cols>
  <sheetData>
    <row r="1" spans="1:7" ht="58.5" customHeight="1" thickBot="1">
      <c r="A1" s="343"/>
      <c r="B1" s="344"/>
      <c r="F1" s="281" t="s">
        <v>416</v>
      </c>
    </row>
    <row r="2" spans="1:7" ht="49.5" customHeight="1">
      <c r="A2" s="252">
        <f ca="1">'Тека ГП'!$C$4</f>
        <v>46211</v>
      </c>
      <c r="B2" s="345" t="s">
        <v>396</v>
      </c>
    </row>
    <row r="3" spans="1:7" ht="33" customHeight="1" thickBot="1">
      <c r="A3" s="253"/>
      <c r="B3" s="346"/>
    </row>
    <row r="4" spans="1:7" ht="40.5" customHeight="1" thickBot="1">
      <c r="A4" s="80" t="s">
        <v>248</v>
      </c>
      <c r="B4" s="347"/>
    </row>
    <row r="5" spans="1:7" ht="50.1" customHeight="1" thickBot="1">
      <c r="A5" s="81" t="s">
        <v>103</v>
      </c>
      <c r="B5" s="82" t="str">
        <f>IF('Тека ГП'!B8="","",TEXT('Тека ГП'!B8, "ДДММ"))</f>
        <v/>
      </c>
      <c r="G5" t="str">
        <f ca="1">TEXT($A$2,"ДДММ")</f>
        <v>0807</v>
      </c>
    </row>
    <row r="6" spans="1:7" ht="50.1" customHeight="1" thickBot="1">
      <c r="A6" s="83" t="s">
        <v>106</v>
      </c>
      <c r="B6" s="82" t="str">
        <f>IF('Тека ГП'!B9="","",TEXT('Тека ГП'!B9, "ДДММ"))</f>
        <v/>
      </c>
      <c r="F6" s="280"/>
    </row>
    <row r="7" spans="1:7" s="77" customFormat="1" ht="50.1" customHeight="1" thickBot="1">
      <c r="A7" s="84" t="s">
        <v>117</v>
      </c>
      <c r="B7" s="82" t="str">
        <f>IF('Тека ГП'!B10="","",TEXT('Тека ГП'!B10, "ДДММ"))</f>
        <v/>
      </c>
      <c r="F7" s="284"/>
    </row>
    <row r="8" spans="1:7" s="77" customFormat="1" ht="50.1" customHeight="1" thickBot="1">
      <c r="A8" s="85" t="s">
        <v>234</v>
      </c>
      <c r="B8" s="82" t="str">
        <f>IF('Тека ГП'!B11="","",TEXT('Тека ГП'!B11, "ДДММ"))</f>
        <v/>
      </c>
      <c r="F8" s="284"/>
    </row>
    <row r="9" spans="1:7" s="77" customFormat="1" ht="50.1" customHeight="1" thickBot="1">
      <c r="A9" s="86" t="s">
        <v>388</v>
      </c>
      <c r="B9" s="82" t="str">
        <f>IF('Тека ГП'!B12="","",TEXT('Тека ГП'!B12, "ДДММ"))</f>
        <v/>
      </c>
      <c r="F9" s="284"/>
    </row>
    <row r="10" spans="1:7" s="77" customFormat="1" ht="50.1" customHeight="1" thickBot="1">
      <c r="A10" s="86" t="s">
        <v>123</v>
      </c>
      <c r="B10" s="82" t="str">
        <f>IF('Тека ГП'!B13="","",TEXT('Тека ГП'!B13, "ДДММ"))</f>
        <v/>
      </c>
      <c r="F10" s="284"/>
    </row>
    <row r="11" spans="1:7" s="77" customFormat="1" ht="50.1" customHeight="1" thickBot="1">
      <c r="A11" s="86" t="s">
        <v>124</v>
      </c>
      <c r="B11" s="82" t="str">
        <f>IF('Тека ГП'!B14="","",TEXT('Тека ГП'!B14, "ДДММ"))</f>
        <v/>
      </c>
      <c r="F11" s="284"/>
    </row>
    <row r="12" spans="1:7" s="77" customFormat="1" ht="50.1" customHeight="1" thickBot="1">
      <c r="A12" s="86" t="s">
        <v>210</v>
      </c>
      <c r="B12" s="82" t="str">
        <f>IF('Тека ГП'!B15="","",TEXT('Тека ГП'!B15, "ДДММ"))</f>
        <v/>
      </c>
      <c r="F12" s="284"/>
    </row>
    <row r="13" spans="1:7" s="77" customFormat="1" ht="50.1" customHeight="1" thickBot="1">
      <c r="A13" s="86" t="s">
        <v>209</v>
      </c>
      <c r="B13" s="82" t="str">
        <f>IF('Тека ГП'!B16="","",TEXT('Тека ГП'!B16, "ДДММ"))</f>
        <v/>
      </c>
      <c r="F13" s="284"/>
    </row>
    <row r="14" spans="1:7" s="77" customFormat="1" ht="50.1" customHeight="1" thickBot="1">
      <c r="A14" s="86" t="s">
        <v>127</v>
      </c>
      <c r="B14" s="82" t="str">
        <f>IF('Тека ГП'!B17="","",TEXT('Тека ГП'!B17, "ДДММ"))</f>
        <v/>
      </c>
      <c r="F14" s="284"/>
    </row>
    <row r="15" spans="1:7" s="77" customFormat="1" ht="50.1" customHeight="1" thickBot="1">
      <c r="A15" s="86" t="s">
        <v>128</v>
      </c>
      <c r="B15" s="82" t="str">
        <f>IF('Тека ГП'!B18="","",TEXT('Тека ГП'!B18, "ДДММ"))</f>
        <v/>
      </c>
      <c r="F15" s="284"/>
    </row>
    <row r="16" spans="1:7" s="77" customFormat="1" ht="50.1" customHeight="1" thickBot="1">
      <c r="A16" s="86" t="s">
        <v>308</v>
      </c>
      <c r="B16" s="82" t="str">
        <f>IF('Тека ГП'!B19="","",TEXT('Тека ГП'!B19, "ДДММ"))</f>
        <v/>
      </c>
      <c r="F16" s="284"/>
    </row>
    <row r="17" spans="1:6" s="77" customFormat="1" ht="50.1" customHeight="1" thickBot="1">
      <c r="A17" s="86" t="s">
        <v>129</v>
      </c>
      <c r="B17" s="82" t="str">
        <f>IF('Тека ГП'!B20="","",TEXT('Тека ГП'!B20, "ДДММ"))</f>
        <v/>
      </c>
      <c r="F17" s="284"/>
    </row>
    <row r="18" spans="1:6" s="77" customFormat="1" ht="50.1" customHeight="1" thickBot="1">
      <c r="A18" s="86" t="s">
        <v>176</v>
      </c>
      <c r="B18" s="82" t="str">
        <f>IF('Тека ГП'!B21="","",TEXT('Тека ГП'!B21, "ДДММ"))</f>
        <v/>
      </c>
      <c r="F18" s="284"/>
    </row>
    <row r="19" spans="1:6" s="77" customFormat="1" ht="50.1" customHeight="1" thickBot="1">
      <c r="A19" s="86" t="s">
        <v>130</v>
      </c>
      <c r="B19" s="82" t="str">
        <f>IF('Тека ГП'!B22="","",TEXT('Тека ГП'!B22, "ДДММ"))</f>
        <v/>
      </c>
      <c r="F19" s="284"/>
    </row>
    <row r="20" spans="1:6" s="77" customFormat="1" ht="50.1" customHeight="1" thickBot="1">
      <c r="A20" s="86" t="s">
        <v>179</v>
      </c>
      <c r="B20" s="82" t="str">
        <f>IF('Тека ГП'!B23="","",TEXT('Тека ГП'!B23, "ДДММ"))</f>
        <v/>
      </c>
      <c r="F20" s="284"/>
    </row>
    <row r="21" spans="1:6" s="77" customFormat="1" ht="50.1" customHeight="1" thickBot="1">
      <c r="A21" s="86" t="s">
        <v>131</v>
      </c>
      <c r="B21" s="82" t="str">
        <f>IF('Тека ГП'!B24="","",TEXT('Тека ГП'!B24, "ДДММ"))</f>
        <v/>
      </c>
      <c r="F21" s="284"/>
    </row>
    <row r="22" spans="1:6" s="77" customFormat="1" ht="50.1" customHeight="1" thickBot="1">
      <c r="A22" s="86" t="s">
        <v>180</v>
      </c>
      <c r="B22" s="82" t="str">
        <f>IF('Тека ГП'!B25="","",TEXT('Тека ГП'!B25, "ДДММ"))</f>
        <v/>
      </c>
      <c r="F22" s="284"/>
    </row>
    <row r="23" spans="1:6" s="77" customFormat="1" ht="50.1" customHeight="1" thickBot="1">
      <c r="A23" s="86" t="s">
        <v>181</v>
      </c>
      <c r="B23" s="82" t="str">
        <f>IF('Тека ГП'!B26="","",TEXT('Тека ГП'!B26, "ДДММ"))</f>
        <v/>
      </c>
      <c r="F23" s="284"/>
    </row>
    <row r="24" spans="1:6" s="77" customFormat="1" ht="50.1" customHeight="1" thickBot="1">
      <c r="A24" s="86" t="s">
        <v>132</v>
      </c>
      <c r="B24" s="82" t="str">
        <f>IF('Тека ГП'!B27="","",TEXT('Тека ГП'!B27, "ДДММ"))</f>
        <v/>
      </c>
      <c r="F24" s="284"/>
    </row>
    <row r="25" spans="1:6" s="77" customFormat="1" ht="50.1" customHeight="1" thickBot="1">
      <c r="A25" s="86" t="s">
        <v>133</v>
      </c>
      <c r="B25" s="82" t="str">
        <f>IF('Тека ГП'!B28="","",TEXT('Тека ГП'!B28, "ДДММ"))</f>
        <v/>
      </c>
      <c r="F25" s="284"/>
    </row>
    <row r="26" spans="1:6" s="77" customFormat="1" ht="50.1" customHeight="1" thickBot="1">
      <c r="A26" s="86" t="s">
        <v>134</v>
      </c>
      <c r="B26" s="82" t="str">
        <f>IF('Тека ГП'!B29="","",TEXT('Тека ГП'!B29, "ДДММ"))</f>
        <v/>
      </c>
      <c r="F26" s="284"/>
    </row>
    <row r="27" spans="1:6" s="77" customFormat="1" ht="50.1" customHeight="1" thickBot="1">
      <c r="A27" s="86" t="s">
        <v>136</v>
      </c>
      <c r="B27" s="82" t="str">
        <f>IF('Тека ГП'!B30="","",TEXT('Тека ГП'!B30, "ДДММ"))</f>
        <v/>
      </c>
      <c r="F27" s="284"/>
    </row>
    <row r="28" spans="1:6" s="77" customFormat="1" ht="50.1" customHeight="1" thickBot="1">
      <c r="A28" s="86" t="s">
        <v>231</v>
      </c>
      <c r="B28" s="82" t="str">
        <f>IF('Тека ГП'!B31="","",TEXT('Тека ГП'!B31, "ДДММ"))</f>
        <v/>
      </c>
      <c r="F28" s="284"/>
    </row>
    <row r="29" spans="1:6" s="77" customFormat="1" ht="50.1" customHeight="1" thickBot="1">
      <c r="A29" s="86" t="s">
        <v>138</v>
      </c>
      <c r="B29" s="82" t="str">
        <f>IF('Тека ГП'!B32="","",TEXT('Тека ГП'!B32, "ДДММ"))</f>
        <v/>
      </c>
      <c r="F29" s="284"/>
    </row>
    <row r="30" spans="1:6" s="77" customFormat="1" ht="50.1" customHeight="1" thickBot="1">
      <c r="A30" s="86" t="s">
        <v>144</v>
      </c>
      <c r="B30" s="82" t="str">
        <f>IF('Тека ГП'!B33="","",TEXT('Тека ГП'!B33, "ДДММ"))</f>
        <v/>
      </c>
      <c r="F30" s="284"/>
    </row>
    <row r="31" spans="1:6" s="77" customFormat="1" ht="50.1" customHeight="1" thickBot="1">
      <c r="A31" s="86" t="s">
        <v>146</v>
      </c>
      <c r="B31" s="82" t="str">
        <f>IF('Тека ГП'!B34="","",TEXT('Тека ГП'!B34, "ДДММ"))</f>
        <v/>
      </c>
      <c r="F31" s="284"/>
    </row>
    <row r="32" spans="1:6" s="77" customFormat="1" ht="50.1" customHeight="1" thickBot="1">
      <c r="A32" s="86" t="s">
        <v>147</v>
      </c>
      <c r="B32" s="82" t="str">
        <f>IF('Тека ГП'!B35="","",TEXT('Тека ГП'!B35, "ДДММ"))</f>
        <v/>
      </c>
      <c r="F32" s="284"/>
    </row>
    <row r="33" spans="1:6" s="77" customFormat="1" ht="50.1" customHeight="1" thickBot="1">
      <c r="A33" s="86" t="s">
        <v>148</v>
      </c>
      <c r="B33" s="82" t="str">
        <f>IF('Тека ГП'!B36="","",TEXT('Тека ГП'!B36, "ДДММ"))</f>
        <v/>
      </c>
      <c r="F33" s="284"/>
    </row>
    <row r="34" spans="1:6" s="77" customFormat="1" ht="50.1" customHeight="1" thickBot="1">
      <c r="A34" s="86" t="s">
        <v>150</v>
      </c>
      <c r="B34" s="82" t="str">
        <f>IF('Тека ГП'!B37="","",TEXT('Тека ГП'!B37, "ДДММ"))</f>
        <v/>
      </c>
      <c r="F34" s="284"/>
    </row>
    <row r="35" spans="1:6" s="77" customFormat="1" ht="50.1" customHeight="1" thickBot="1">
      <c r="A35" s="86" t="s">
        <v>152</v>
      </c>
      <c r="B35" s="82" t="str">
        <f>IF('Тека ГП'!B38="","",TEXT('Тека ГП'!B38, "ДДММ"))</f>
        <v/>
      </c>
      <c r="F35" s="284"/>
    </row>
    <row r="36" spans="1:6" s="77" customFormat="1" ht="50.1" customHeight="1" thickBot="1">
      <c r="A36" s="86" t="s">
        <v>154</v>
      </c>
      <c r="B36" s="82" t="str">
        <f>IF('Тека ГП'!B39="","",TEXT('Тека ГП'!B39, "ДДММ"))</f>
        <v/>
      </c>
      <c r="F36" s="284"/>
    </row>
    <row r="37" spans="1:6" s="77" customFormat="1" ht="50.1" customHeight="1" thickBot="1">
      <c r="A37" s="86" t="s">
        <v>156</v>
      </c>
      <c r="B37" s="82" t="str">
        <f>IF('Тека ГП'!B40="","",TEXT('Тека ГП'!B40, "ДДММ"))</f>
        <v/>
      </c>
      <c r="F37" s="284"/>
    </row>
    <row r="38" spans="1:6" s="77" customFormat="1" ht="50.1" customHeight="1" thickBot="1">
      <c r="A38" s="86" t="s">
        <v>158</v>
      </c>
      <c r="B38" s="82" t="str">
        <f>IF('Тека ГП'!B41="","",TEXT('Тека ГП'!B41, "ДДММ"))</f>
        <v/>
      </c>
      <c r="F38" s="284"/>
    </row>
    <row r="39" spans="1:6" s="77" customFormat="1" ht="50.1" customHeight="1" thickBot="1">
      <c r="A39" s="86" t="s">
        <v>160</v>
      </c>
      <c r="B39" s="82" t="str">
        <f>IF('Тека ГП'!B42="","",TEXT('Тека ГП'!B42, "ДДММ"))</f>
        <v/>
      </c>
      <c r="F39" s="284"/>
    </row>
    <row r="40" spans="1:6" s="77" customFormat="1" ht="50.1" customHeight="1" thickBot="1">
      <c r="A40" s="86" t="s">
        <v>162</v>
      </c>
      <c r="B40" s="82" t="str">
        <f>IF('Тека ГП'!B43="","",TEXT('Тека ГП'!B43, "ДДММ"))</f>
        <v/>
      </c>
      <c r="F40" s="284"/>
    </row>
    <row r="41" spans="1:6" s="77" customFormat="1" ht="50.1" customHeight="1" thickBot="1">
      <c r="A41" s="84" t="s">
        <v>164</v>
      </c>
      <c r="B41" s="82" t="str">
        <f>IF('Тека ГП'!B44="","",TEXT('Тека ГП'!B44, "ДДММ"))</f>
        <v/>
      </c>
      <c r="F41" s="284"/>
    </row>
    <row r="42" spans="1:6" ht="50.1" customHeight="1" thickBot="1">
      <c r="A42" s="84" t="s">
        <v>166</v>
      </c>
      <c r="B42" s="82" t="str">
        <f>IF('Тека ГП'!B45="","",TEXT('Тека ГП'!B45, "ДДММ"))</f>
        <v/>
      </c>
      <c r="F42" s="280"/>
    </row>
    <row r="43" spans="1:6" ht="50.1" customHeight="1" thickBot="1">
      <c r="A43" s="84" t="s">
        <v>168</v>
      </c>
      <c r="B43" s="82" t="str">
        <f>IF('Тека ГП'!B46="","",TEXT('Тека ГП'!B46, "ДДММ"))</f>
        <v/>
      </c>
      <c r="F43" s="280"/>
    </row>
    <row r="44" spans="1:6" ht="50.1" customHeight="1" thickBot="1">
      <c r="A44" s="84" t="s">
        <v>170</v>
      </c>
      <c r="B44" s="82" t="str">
        <f>IF('Тека ГП'!B47="","",TEXT('Тека ГП'!B47, "ДДММ"))</f>
        <v/>
      </c>
      <c r="F44" s="280"/>
    </row>
    <row r="45" spans="1:6" ht="50.1" customHeight="1" thickBot="1">
      <c r="A45" s="84" t="s">
        <v>171</v>
      </c>
      <c r="B45" s="82" t="str">
        <f>IF('Тека ГП'!B48="","",TEXT('Тека ГП'!B48, "ДДММ"))</f>
        <v/>
      </c>
      <c r="F45" s="280"/>
    </row>
    <row r="46" spans="1:6" ht="50.1" customHeight="1" thickBot="1">
      <c r="A46" s="84" t="s">
        <v>173</v>
      </c>
      <c r="B46" s="82" t="str">
        <f>IF('Тека ГП'!B49="","",TEXT('Тека ГП'!B49, "ДДММ"))</f>
        <v/>
      </c>
      <c r="F46" s="280"/>
    </row>
    <row r="47" spans="1:6" ht="50.1" customHeight="1" thickBot="1">
      <c r="A47" s="84" t="s">
        <v>175</v>
      </c>
      <c r="B47" s="82" t="str">
        <f>IF('Тека ГП'!B50="","",TEXT('Тека ГП'!B50, "ДДММ"))</f>
        <v/>
      </c>
      <c r="F47" s="280"/>
    </row>
    <row r="48" spans="1:6" ht="50.1" customHeight="1" thickBot="1">
      <c r="A48" s="84" t="s">
        <v>223</v>
      </c>
      <c r="B48" s="82" t="str">
        <f>IF('Тека ГП'!B51="","",TEXT('Тека ГП'!B51, "ДДММ"))</f>
        <v/>
      </c>
      <c r="F48" s="280"/>
    </row>
    <row r="49" spans="1:6" ht="50.1" customHeight="1" thickBot="1">
      <c r="A49" s="84" t="s">
        <v>310</v>
      </c>
      <c r="B49" s="82" t="str">
        <f>IF('Тека ГП'!B52="","",TEXT('Тека ГП'!B52, "ДДММ"))</f>
        <v/>
      </c>
      <c r="F49" s="280"/>
    </row>
    <row r="50" spans="1:6" ht="50.1" customHeight="1" thickBot="1">
      <c r="A50" s="84" t="s">
        <v>398</v>
      </c>
      <c r="B50" s="82" t="str">
        <f>IF('Тека ГП'!B53="","",TEXT('Тека ГП'!B53, "ДДММ"))</f>
        <v/>
      </c>
      <c r="F50" s="280"/>
    </row>
    <row r="51" spans="1:6" ht="50.1" customHeight="1" thickBot="1">
      <c r="A51" s="84" t="s">
        <v>401</v>
      </c>
      <c r="B51" s="82" t="str">
        <f>IF('Тека ГП'!B54="","",TEXT('Тека ГП'!B54, "ДДММ"))</f>
        <v/>
      </c>
      <c r="F51" s="280"/>
    </row>
    <row r="52" spans="1:6" ht="50.1" customHeight="1" thickBot="1">
      <c r="A52" s="84" t="s">
        <v>402</v>
      </c>
      <c r="B52" s="82" t="str">
        <f>IF('Тека ГП'!B55="","",TEXT('Тека ГП'!B55, "ДДММ"))</f>
        <v/>
      </c>
      <c r="F52" s="280"/>
    </row>
    <row r="53" spans="1:6" ht="50.1" customHeight="1" thickBot="1">
      <c r="A53" s="84" t="s">
        <v>235</v>
      </c>
      <c r="B53" s="82" t="str">
        <f>IF('Тека ГП'!B64="","",TEXT('Тека ГП'!B64, "ДДММ"))</f>
        <v/>
      </c>
      <c r="F53" s="280"/>
    </row>
    <row r="54" spans="1:6" ht="50.1" customHeight="1" thickBot="1">
      <c r="A54" s="87" t="s">
        <v>236</v>
      </c>
      <c r="B54" s="82" t="str">
        <f>IF('Тека ГП'!B65="","",TEXT('Тека ГП'!B65, "ДДММ"))</f>
        <v/>
      </c>
      <c r="F54" s="280"/>
    </row>
    <row r="55" spans="1:6" ht="50.1" customHeight="1" thickBot="1">
      <c r="A55" s="87" t="s">
        <v>237</v>
      </c>
      <c r="B55" s="82" t="str">
        <f>IF('Тека ГП'!B66="","",TEXT('Тека ГП'!B66, "ДДММ"))</f>
        <v/>
      </c>
      <c r="F55" s="280"/>
    </row>
    <row r="56" spans="1:6" ht="50.1" customHeight="1" thickBot="1">
      <c r="A56" s="87" t="s">
        <v>238</v>
      </c>
      <c r="B56" s="82" t="str">
        <f>IF('Тека ГП'!B67="","",TEXT('Тека ГП'!B67, "ДДММ"))</f>
        <v/>
      </c>
      <c r="F56" s="280"/>
    </row>
    <row r="57" spans="1:6" ht="50.1" customHeight="1" thickBot="1">
      <c r="A57" s="87" t="s">
        <v>239</v>
      </c>
      <c r="B57" s="82" t="str">
        <f>IF('Тека ГП'!B68="","",TEXT('Тека ГП'!B68, "ДДММ"))</f>
        <v/>
      </c>
      <c r="F57" s="280"/>
    </row>
    <row r="58" spans="1:6" ht="50.1" customHeight="1" thickBot="1">
      <c r="A58" s="84" t="s">
        <v>240</v>
      </c>
      <c r="B58" s="82" t="str">
        <f>IF('Тека ГП'!B69="","",TEXT('Тека ГП'!B69, "ДДММ"))</f>
        <v/>
      </c>
      <c r="F58" s="280"/>
    </row>
    <row r="59" spans="1:6" ht="50.1" customHeight="1" thickBot="1">
      <c r="A59" s="84" t="s">
        <v>241</v>
      </c>
      <c r="B59" s="82" t="str">
        <f>IF('Тека ГП'!B70="","",TEXT('Тека ГП'!B70, "ДДММ"))</f>
        <v/>
      </c>
      <c r="F59" s="280"/>
    </row>
    <row r="60" spans="1:6" ht="50.1" customHeight="1" thickBot="1">
      <c r="A60" s="84" t="s">
        <v>242</v>
      </c>
      <c r="B60" s="82" t="str">
        <f>IF('Тека ГП'!B71="","",TEXT('Тека ГП'!B71, "ДДММ"))</f>
        <v/>
      </c>
      <c r="F60" s="280"/>
    </row>
    <row r="61" spans="1:6" ht="50.1" customHeight="1" thickBot="1">
      <c r="A61" s="84" t="s">
        <v>243</v>
      </c>
      <c r="B61" s="82" t="str">
        <f>IF('Тека ГП'!B72="","",TEXT('Тека ГП'!B72, "ДДММ"))</f>
        <v/>
      </c>
      <c r="F61" s="280"/>
    </row>
    <row r="62" spans="1:6" ht="45.75" thickBot="1">
      <c r="A62" s="84" t="s">
        <v>142</v>
      </c>
      <c r="B62" s="250" t="str">
        <f>B48</f>
        <v/>
      </c>
      <c r="F62" s="280"/>
    </row>
    <row r="63" spans="1:6" ht="45.75" thickBot="1">
      <c r="A63" s="84" t="s">
        <v>145</v>
      </c>
      <c r="B63" s="250" t="str">
        <f>B30</f>
        <v/>
      </c>
      <c r="F63" s="280"/>
    </row>
    <row r="64" spans="1:6" ht="45.75" thickBot="1">
      <c r="A64" s="84" t="s">
        <v>149</v>
      </c>
      <c r="B64" s="250" t="str">
        <f>B33</f>
        <v/>
      </c>
      <c r="F64" s="280"/>
    </row>
    <row r="65" spans="1:6" ht="45.75" thickBot="1">
      <c r="A65" s="84" t="s">
        <v>151</v>
      </c>
      <c r="B65" s="250" t="str">
        <f>B34</f>
        <v/>
      </c>
      <c r="F65" s="280"/>
    </row>
    <row r="66" spans="1:6" ht="45.75" thickBot="1">
      <c r="A66" s="84" t="s">
        <v>153</v>
      </c>
      <c r="B66" s="250" t="str">
        <f>B35</f>
        <v/>
      </c>
      <c r="F66" s="280"/>
    </row>
    <row r="67" spans="1:6" ht="45.75" thickBot="1">
      <c r="A67" s="84" t="s">
        <v>155</v>
      </c>
      <c r="B67" s="250" t="str">
        <f>B36</f>
        <v/>
      </c>
      <c r="F67" s="280"/>
    </row>
    <row r="68" spans="1:6" ht="45.75" thickBot="1">
      <c r="A68" s="84" t="s">
        <v>157</v>
      </c>
      <c r="B68" s="250" t="str">
        <f>B37</f>
        <v/>
      </c>
      <c r="F68" s="280"/>
    </row>
    <row r="69" spans="1:6" ht="45.75" thickBot="1">
      <c r="A69" s="84" t="s">
        <v>165</v>
      </c>
      <c r="B69" s="250" t="str">
        <f>B41</f>
        <v/>
      </c>
      <c r="F69" s="280"/>
    </row>
    <row r="70" spans="1:6" ht="45.75" thickBot="1">
      <c r="A70" s="84" t="s">
        <v>167</v>
      </c>
      <c r="B70" s="250" t="str">
        <f>B42</f>
        <v/>
      </c>
      <c r="F70" s="280"/>
    </row>
    <row r="71" spans="1:6" ht="45.75" thickBot="1">
      <c r="A71" s="84" t="s">
        <v>169</v>
      </c>
      <c r="B71" s="250" t="str">
        <f>B43</f>
        <v/>
      </c>
      <c r="F71" s="280"/>
    </row>
    <row r="72" spans="1:6" ht="45.75" thickBot="1">
      <c r="A72" s="84" t="s">
        <v>315</v>
      </c>
      <c r="B72" s="250" t="str">
        <f>B45</f>
        <v/>
      </c>
      <c r="F72" s="280"/>
    </row>
    <row r="73" spans="1:6" ht="45.75" thickBot="1">
      <c r="A73" s="84" t="s">
        <v>174</v>
      </c>
      <c r="B73" s="250" t="str">
        <f>B46</f>
        <v/>
      </c>
      <c r="F73" s="280"/>
    </row>
    <row r="74" spans="1:6" ht="45.75" thickBot="1">
      <c r="A74" s="84" t="s">
        <v>159</v>
      </c>
      <c r="B74" s="250" t="str">
        <f>B38</f>
        <v/>
      </c>
      <c r="F74" s="280"/>
    </row>
    <row r="75" spans="1:6" ht="45.75" thickBot="1">
      <c r="A75" s="84" t="s">
        <v>161</v>
      </c>
      <c r="B75" s="250" t="str">
        <f>B39</f>
        <v/>
      </c>
      <c r="F75" s="280"/>
    </row>
    <row r="76" spans="1:6" ht="45.75" thickBot="1">
      <c r="A76" s="84" t="s">
        <v>163</v>
      </c>
      <c r="B76" s="250" t="str">
        <f>B40</f>
        <v/>
      </c>
      <c r="F76" s="280"/>
    </row>
    <row r="77" spans="1:6" ht="45.75" thickBot="1">
      <c r="A77" s="84" t="s">
        <v>311</v>
      </c>
      <c r="B77" s="250" t="str">
        <f>B49</f>
        <v/>
      </c>
      <c r="F77" s="280"/>
    </row>
    <row r="78" spans="1:6" ht="90.75" thickBot="1">
      <c r="A78" s="274" t="s">
        <v>409</v>
      </c>
      <c r="B78" s="250" t="str">
        <f>B50</f>
        <v/>
      </c>
      <c r="F78" s="280"/>
    </row>
    <row r="79" spans="1:6" ht="90.75" thickBot="1">
      <c r="A79" s="274" t="s">
        <v>410</v>
      </c>
      <c r="B79" s="250" t="str">
        <f>B51</f>
        <v/>
      </c>
      <c r="F79" s="280"/>
    </row>
    <row r="80" spans="1:6" ht="90.75" thickBot="1">
      <c r="A80" s="274" t="s">
        <v>411</v>
      </c>
      <c r="B80" s="250" t="str">
        <f>B52</f>
        <v/>
      </c>
      <c r="F80" s="280"/>
    </row>
    <row r="81" spans="1:6" ht="45.75" thickBot="1">
      <c r="A81" s="274" t="s">
        <v>418</v>
      </c>
      <c r="B81" s="250" t="str">
        <f>IF('Тека ГП'!B58="","",TEXT('Тека ГП'!B58, "ДДММ"))</f>
        <v/>
      </c>
      <c r="F81" s="280"/>
    </row>
    <row r="82" spans="1:6" ht="45">
      <c r="A82" s="84" t="s">
        <v>419</v>
      </c>
      <c r="B82" s="250" t="str">
        <f>IF('Тека ГП'!B59="","",TEXT('Тека ГП'!B59, "ДДММ"))</f>
        <v/>
      </c>
    </row>
  </sheetData>
  <mergeCells count="2">
    <mergeCell ref="A1:B1"/>
    <mergeCell ref="B2:B4"/>
  </mergeCells>
  <pageMargins left="0.7" right="0.7" top="0.75" bottom="0.75" header="0.3" footer="0.3"/>
  <pageSetup paperSize="9" scale="18" fitToWidth="0" orientation="portrait" r:id="rId1"/>
</worksheet>
</file>

<file path=customUI/customUI.xml><?xml version="1.0" encoding="utf-8"?>
<customUI xmlns="http://schemas.microsoft.com/office/2006/01/customui">
  <ribbon startFromScratch="false">
    <tabs>
      <tab id="CustomTab" label="Печать" insertBeforeMso="TabHome">
        <group id="Group1" label="маркировка">
          <button id="Button1" label="ПЕЧАТЬ" size="large" onAction="SSp" imageMso="FilePri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20</vt:i4>
      </vt:variant>
    </vt:vector>
  </HeadingPairs>
  <TitlesOfParts>
    <vt:vector size="40" baseType="lpstr">
      <vt:lpstr>Тека ГП</vt:lpstr>
      <vt:lpstr>Тека мясо 8-00</vt:lpstr>
      <vt:lpstr>Тека мясо 13-00</vt:lpstr>
      <vt:lpstr>Тека мясо 19-00</vt:lpstr>
      <vt:lpstr>для печати</vt:lpstr>
      <vt:lpstr>Тека ГП нарезка</vt:lpstr>
      <vt:lpstr>Тека ГП нарезка 12-00</vt:lpstr>
      <vt:lpstr>Тека ГП нарезка 16-00 </vt:lpstr>
      <vt:lpstr>Тека ГП нарезка 20-00 </vt:lpstr>
      <vt:lpstr>Шоп ГП</vt:lpstr>
      <vt:lpstr> ГП печать</vt:lpstr>
      <vt:lpstr>Партии для ВУ</vt:lpstr>
      <vt:lpstr>ЖР ВУ</vt:lpstr>
      <vt:lpstr>ЖР ГП</vt:lpstr>
      <vt:lpstr>Шоп печать</vt:lpstr>
      <vt:lpstr>ЖР МЛ</vt:lpstr>
      <vt:lpstr>Т МЛ</vt:lpstr>
      <vt:lpstr>Черновик МЛ</vt:lpstr>
      <vt:lpstr>Контроль сроков ГП</vt:lpstr>
      <vt:lpstr>Для прослежки</vt:lpstr>
      <vt:lpstr>'ЖР ВУ'!Заголовки_для_печати</vt:lpstr>
      <vt:lpstr>'ЖР ГП'!Заголовки_для_печати</vt:lpstr>
      <vt:lpstr>'Т МЛ'!Заголовки_для_печати</vt:lpstr>
      <vt:lpstr>' ГП печать'!Область_печати</vt:lpstr>
      <vt:lpstr>'Для прослежки'!Область_печати</vt:lpstr>
      <vt:lpstr>'ЖР ВУ'!Область_печати</vt:lpstr>
      <vt:lpstr>'ЖР ГП'!Область_печати</vt:lpstr>
      <vt:lpstr>'Контроль сроков ГП'!Область_печати</vt:lpstr>
      <vt:lpstr>'Партии для ВУ'!Область_печати</vt:lpstr>
      <vt:lpstr>'Тека ГП'!Область_печати</vt:lpstr>
      <vt:lpstr>'Тека ГП нарезка'!Область_печати</vt:lpstr>
      <vt:lpstr>'Тека ГП нарезка 12-00'!Область_печати</vt:lpstr>
      <vt:lpstr>'Тека ГП нарезка 16-00 '!Область_печати</vt:lpstr>
      <vt:lpstr>'Тека ГП нарезка 20-00 '!Область_печати</vt:lpstr>
      <vt:lpstr>'Тека мясо 13-00'!Область_печати</vt:lpstr>
      <vt:lpstr>'Тека мясо 19-00'!Область_печати</vt:lpstr>
      <vt:lpstr>'Тека мясо 8-00'!Область_печати</vt:lpstr>
      <vt:lpstr>'Черновик МЛ'!Область_печати</vt:lpstr>
      <vt:lpstr>'Шоп ГП'!Область_печати</vt:lpstr>
      <vt:lpstr>'Шоп печать'!Область_печати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Pavel Babin</cp:lastModifiedBy>
  <cp:lastPrinted>2026-07-08T04:14:04Z</cp:lastPrinted>
  <dcterms:created xsi:type="dcterms:W3CDTF">2006-09-16T00:00:00Z</dcterms:created>
  <dcterms:modified xsi:type="dcterms:W3CDTF">2026-07-08T07:39:57Z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1</vt:lpwstr>
  </property>
</Properties>
</file>